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NK\"/>
    </mc:Choice>
  </mc:AlternateContent>
  <xr:revisionPtr revIDLastSave="0" documentId="8_{EF7514A0-1CFE-4E77-81BB-951A37B54E02}" xr6:coauthVersionLast="47" xr6:coauthVersionMax="47" xr10:uidLastSave="{00000000-0000-0000-0000-000000000000}"/>
  <bookViews>
    <workbookView xWindow="-108" yWindow="-108" windowWidth="23256" windowHeight="12456" xr2:uid="{20E1477C-4C2A-43E9-8D4D-3F4C141D84D0}"/>
  </bookViews>
  <sheets>
    <sheet name="Sheet1" sheetId="1" r:id="rId1"/>
  </sheets>
  <definedNames>
    <definedName name="_xlnm._FilterDatabase" localSheetId="0" hidden="1">Sheet1!$A$4:$L$22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L22" i="1"/>
  <c r="E22" i="1"/>
  <c r="G22" i="1"/>
</calcChain>
</file>

<file path=xl/sharedStrings.xml><?xml version="1.0" encoding="utf-8"?>
<sst xmlns="http://schemas.openxmlformats.org/spreadsheetml/2006/main" count="68" uniqueCount="38">
  <si>
    <t>Popees Baby Care Products Ltd</t>
  </si>
  <si>
    <t>Loan Account No.</t>
  </si>
  <si>
    <t>Type of credit</t>
  </si>
  <si>
    <t>Bank/Financial Institutution</t>
  </si>
  <si>
    <t>EMI date</t>
  </si>
  <si>
    <t>Sanctioned amount</t>
  </si>
  <si>
    <t>Interest %</t>
  </si>
  <si>
    <t>EMI Amount</t>
  </si>
  <si>
    <t>Sanctined Date</t>
  </si>
  <si>
    <t>Terms</t>
  </si>
  <si>
    <t>End date</t>
  </si>
  <si>
    <t>Vehicle Loan</t>
  </si>
  <si>
    <t>Federal Bank</t>
  </si>
  <si>
    <t>10th</t>
  </si>
  <si>
    <t>Term Loan - EBO</t>
  </si>
  <si>
    <t>14th</t>
  </si>
  <si>
    <t>5th</t>
  </si>
  <si>
    <t>Term Loan</t>
  </si>
  <si>
    <t>31st</t>
  </si>
  <si>
    <t>Covid Loan</t>
  </si>
  <si>
    <t>Union Bank Of India</t>
  </si>
  <si>
    <t>30th</t>
  </si>
  <si>
    <t>16th</t>
  </si>
  <si>
    <t>WCDL</t>
  </si>
  <si>
    <t>Term loan</t>
  </si>
  <si>
    <t>WCTL</t>
  </si>
  <si>
    <t>02P0590801</t>
  </si>
  <si>
    <t>Business Loan/corporate loan</t>
  </si>
  <si>
    <t>KSIDC</t>
  </si>
  <si>
    <t>24th</t>
  </si>
  <si>
    <t>NSIC</t>
  </si>
  <si>
    <t>Cash Credit</t>
  </si>
  <si>
    <t>30TH</t>
  </si>
  <si>
    <t>Month End</t>
  </si>
  <si>
    <t>519205010000119    </t>
  </si>
  <si>
    <t>Interest
Apr26</t>
  </si>
  <si>
    <t>Loan Outstanding as on 30-04-2026</t>
  </si>
  <si>
    <t>Outstanding as on 30-04-2026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</si>
</sst>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7" x14ac:knownFonts="1"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b/>
      <u/>
      <sz val="11"/>
      <name val="Aptos Narrow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2" applyFont="1" applyBorder="1" applyAlignment="1">
      <alignment horizontal="center" vertical="center" wrapText="1"/>
    </xf>
    <xf numFmtId="43" fontId="3" fillId="0" borderId="1" xfId="3" applyFont="1" applyBorder="1" applyAlignment="1">
      <alignment horizontal="center" vertical="center" wrapText="1"/>
    </xf>
    <xf numFmtId="0" fontId="4" fillId="0" borderId="0" xfId="2" applyFont="1"/>
    <xf numFmtId="0" fontId="4" fillId="0" borderId="1" xfId="2" applyFont="1" applyBorder="1"/>
    <xf numFmtId="165" fontId="3" fillId="0" borderId="1" xfId="3" applyNumberFormat="1" applyFont="1" applyFill="1" applyBorder="1"/>
    <xf numFmtId="43" fontId="4" fillId="0" borderId="1" xfId="3" applyFont="1" applyBorder="1"/>
    <xf numFmtId="43" fontId="3" fillId="0" borderId="1" xfId="3" applyFont="1" applyFill="1" applyBorder="1"/>
    <xf numFmtId="0" fontId="4" fillId="0" borderId="0" xfId="2" applyFont="1" applyAlignment="1">
      <alignment horizontal="centerContinuous"/>
    </xf>
    <xf numFmtId="43" fontId="4" fillId="0" borderId="0" xfId="3" applyFont="1" applyAlignment="1">
      <alignment horizontal="centerContinuous"/>
    </xf>
    <xf numFmtId="0" fontId="5" fillId="0" borderId="0" xfId="2" applyFont="1" applyAlignment="1">
      <alignment horizontal="centerContinuous"/>
    </xf>
    <xf numFmtId="1" fontId="4" fillId="0" borderId="1" xfId="2" applyNumberFormat="1" applyFont="1" applyBorder="1" applyAlignment="1">
      <alignment horizontal="left"/>
    </xf>
    <xf numFmtId="165" fontId="4" fillId="0" borderId="1" xfId="3" applyNumberFormat="1" applyFont="1" applyFill="1" applyBorder="1"/>
    <xf numFmtId="0" fontId="4" fillId="0" borderId="1" xfId="2" applyFont="1" applyBorder="1" applyAlignment="1">
      <alignment horizontal="left"/>
    </xf>
    <xf numFmtId="43" fontId="4" fillId="0" borderId="1" xfId="3" applyFont="1" applyBorder="1" applyAlignment="1">
      <alignment horizontal="left"/>
    </xf>
    <xf numFmtId="14" fontId="4" fillId="0" borderId="1" xfId="3" applyNumberFormat="1" applyFont="1" applyFill="1" applyBorder="1"/>
    <xf numFmtId="0" fontId="4" fillId="0" borderId="0" xfId="0" applyFont="1"/>
    <xf numFmtId="43" fontId="4" fillId="0" borderId="1" xfId="3" applyFont="1" applyFill="1" applyBorder="1" applyAlignment="1">
      <alignment horizontal="left"/>
    </xf>
    <xf numFmtId="164" fontId="3" fillId="0" borderId="1" xfId="1" applyFont="1" applyFill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right"/>
    </xf>
    <xf numFmtId="164" fontId="4" fillId="0" borderId="1" xfId="1" applyFont="1" applyBorder="1"/>
    <xf numFmtId="164" fontId="3" fillId="0" borderId="1" xfId="1" applyFont="1" applyFill="1" applyBorder="1"/>
    <xf numFmtId="164" fontId="4" fillId="0" borderId="0" xfId="1" applyFont="1"/>
    <xf numFmtId="0" fontId="6" fillId="0" borderId="0" xfId="2" applyFont="1"/>
  </cellXfs>
  <cellStyles count="5">
    <cellStyle name="Comma" xfId="1" builtinId="3"/>
    <cellStyle name="Comma 2" xfId="4" xr:uid="{1A9EC2F7-6DCD-44CE-BBFE-53DD0DC63574}"/>
    <cellStyle name="Comma 3" xfId="3" xr:uid="{F642E9B0-D28B-4609-98ED-CB2654466694}"/>
    <cellStyle name="Normal" xfId="0" builtinId="0"/>
    <cellStyle name="Normal 2" xfId="2" xr:uid="{7ED79C67-B921-464E-BF09-504B800109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4DFC-3D73-4686-94B8-E13D1679856F}">
  <dimension ref="A1:L22"/>
  <sheetViews>
    <sheetView tabSelected="1" topLeftCell="A2" workbookViewId="0">
      <selection activeCell="N16" sqref="N16"/>
    </sheetView>
  </sheetViews>
  <sheetFormatPr defaultColWidth="9.109375" defaultRowHeight="14.4" x14ac:dyDescent="0.3"/>
  <cols>
    <col min="1" max="1" width="18" style="16" customWidth="1"/>
    <col min="2" max="2" width="28" style="16" bestFit="1" customWidth="1"/>
    <col min="3" max="3" width="19.6640625" style="16" bestFit="1" customWidth="1"/>
    <col min="4" max="4" width="10.33203125" style="16" bestFit="1" customWidth="1"/>
    <col min="5" max="5" width="12.5546875" style="16" bestFit="1" customWidth="1"/>
    <col min="6" max="6" width="8.5546875" style="16" bestFit="1" customWidth="1"/>
    <col min="7" max="7" width="10" style="16" bestFit="1" customWidth="1"/>
    <col min="8" max="8" width="10" style="16" customWidth="1"/>
    <col min="9" max="9" width="12.77734375" style="16" bestFit="1" customWidth="1"/>
    <col min="10" max="10" width="6.5546875" style="16" bestFit="1" customWidth="1"/>
    <col min="11" max="11" width="12.6640625" style="16" bestFit="1" customWidth="1"/>
    <col min="12" max="12" width="15.88671875" style="22" bestFit="1" customWidth="1"/>
    <col min="13" max="16384" width="9.109375" style="16"/>
  </cols>
  <sheetData>
    <row r="1" spans="1:12" x14ac:dyDescent="0.3">
      <c r="A1" s="10" t="s">
        <v>0</v>
      </c>
      <c r="B1" s="8"/>
      <c r="C1" s="8"/>
      <c r="D1" s="8"/>
      <c r="E1" s="8"/>
      <c r="F1" s="9"/>
      <c r="G1" s="8"/>
      <c r="H1" s="8"/>
      <c r="I1" s="8"/>
      <c r="J1" s="8"/>
      <c r="K1" s="8"/>
    </row>
    <row r="2" spans="1:12" x14ac:dyDescent="0.3">
      <c r="A2" s="3" t="s">
        <v>36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4" spans="1:12" ht="47.2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1" t="s">
        <v>7</v>
      </c>
      <c r="H4" s="1" t="s">
        <v>35</v>
      </c>
      <c r="I4" s="1" t="s">
        <v>8</v>
      </c>
      <c r="J4" s="1" t="s">
        <v>9</v>
      </c>
      <c r="K4" s="1" t="s">
        <v>10</v>
      </c>
      <c r="L4" s="18" t="s">
        <v>37</v>
      </c>
    </row>
    <row r="5" spans="1:12" x14ac:dyDescent="0.3">
      <c r="A5" s="11">
        <v>13656900002274</v>
      </c>
      <c r="B5" s="4" t="s">
        <v>11</v>
      </c>
      <c r="C5" s="12" t="s">
        <v>12</v>
      </c>
      <c r="D5" s="13" t="s">
        <v>13</v>
      </c>
      <c r="E5" s="12">
        <v>1763000</v>
      </c>
      <c r="F5" s="14">
        <v>10</v>
      </c>
      <c r="G5" s="12">
        <v>37459</v>
      </c>
      <c r="H5" s="12"/>
      <c r="I5" s="15">
        <v>44022</v>
      </c>
      <c r="J5" s="12">
        <v>60</v>
      </c>
      <c r="K5" s="15">
        <v>45848</v>
      </c>
      <c r="L5" s="20">
        <v>0</v>
      </c>
    </row>
    <row r="6" spans="1:12" x14ac:dyDescent="0.3">
      <c r="A6" s="11">
        <v>13656900002118</v>
      </c>
      <c r="B6" s="4" t="s">
        <v>14</v>
      </c>
      <c r="C6" s="12" t="s">
        <v>12</v>
      </c>
      <c r="D6" s="13" t="s">
        <v>15</v>
      </c>
      <c r="E6" s="12">
        <v>15000000</v>
      </c>
      <c r="F6" s="14">
        <v>10.55</v>
      </c>
      <c r="G6" s="12">
        <v>185657.71</v>
      </c>
      <c r="H6" s="12"/>
      <c r="I6" s="15">
        <v>43630</v>
      </c>
      <c r="J6" s="12">
        <v>84</v>
      </c>
      <c r="K6" s="15">
        <v>46370</v>
      </c>
      <c r="L6" s="20">
        <v>1484994.96</v>
      </c>
    </row>
    <row r="7" spans="1:12" x14ac:dyDescent="0.3">
      <c r="A7" s="11">
        <v>13657400004281</v>
      </c>
      <c r="B7" s="4" t="s">
        <v>11</v>
      </c>
      <c r="C7" s="12" t="s">
        <v>12</v>
      </c>
      <c r="D7" s="13" t="s">
        <v>16</v>
      </c>
      <c r="E7" s="12">
        <v>824800</v>
      </c>
      <c r="F7" s="14">
        <v>10.5</v>
      </c>
      <c r="G7" s="12">
        <v>16862</v>
      </c>
      <c r="H7" s="12"/>
      <c r="I7" s="15">
        <v>44039</v>
      </c>
      <c r="J7" s="12">
        <v>60</v>
      </c>
      <c r="K7" s="15">
        <v>45905</v>
      </c>
      <c r="L7" s="20">
        <v>0</v>
      </c>
    </row>
    <row r="8" spans="1:12" x14ac:dyDescent="0.3">
      <c r="A8" s="11">
        <v>13657400004273</v>
      </c>
      <c r="B8" s="4" t="s">
        <v>11</v>
      </c>
      <c r="C8" s="12" t="s">
        <v>12</v>
      </c>
      <c r="D8" s="13" t="s">
        <v>16</v>
      </c>
      <c r="E8" s="12">
        <v>824800</v>
      </c>
      <c r="F8" s="14">
        <v>10.5</v>
      </c>
      <c r="G8" s="12">
        <v>16862</v>
      </c>
      <c r="H8" s="12"/>
      <c r="I8" s="15">
        <v>44039</v>
      </c>
      <c r="J8" s="12">
        <v>60</v>
      </c>
      <c r="K8" s="15">
        <v>45905</v>
      </c>
      <c r="L8" s="20">
        <v>0</v>
      </c>
    </row>
    <row r="9" spans="1:12" x14ac:dyDescent="0.3">
      <c r="A9" s="11">
        <v>13657400004315</v>
      </c>
      <c r="B9" s="4" t="s">
        <v>11</v>
      </c>
      <c r="C9" s="12" t="s">
        <v>12</v>
      </c>
      <c r="D9" s="13" t="s">
        <v>16</v>
      </c>
      <c r="E9" s="12">
        <v>824800</v>
      </c>
      <c r="F9" s="14">
        <v>10.5</v>
      </c>
      <c r="G9" s="12">
        <v>16862</v>
      </c>
      <c r="H9" s="12"/>
      <c r="I9" s="15">
        <v>44062</v>
      </c>
      <c r="J9" s="12">
        <v>60</v>
      </c>
      <c r="K9" s="15">
        <v>45935</v>
      </c>
      <c r="L9" s="20">
        <v>0</v>
      </c>
    </row>
    <row r="10" spans="1:12" x14ac:dyDescent="0.3">
      <c r="A10" s="11">
        <v>13657400004323</v>
      </c>
      <c r="B10" s="4" t="s">
        <v>11</v>
      </c>
      <c r="C10" s="12" t="s">
        <v>12</v>
      </c>
      <c r="D10" s="13" t="s">
        <v>16</v>
      </c>
      <c r="E10" s="12">
        <v>824800</v>
      </c>
      <c r="F10" s="17">
        <v>8.35</v>
      </c>
      <c r="G10" s="12">
        <v>13412</v>
      </c>
      <c r="H10" s="12">
        <v>1633</v>
      </c>
      <c r="I10" s="15">
        <v>44062</v>
      </c>
      <c r="J10" s="12">
        <v>84</v>
      </c>
      <c r="K10" s="15">
        <v>46665</v>
      </c>
      <c r="L10" s="20">
        <v>192701</v>
      </c>
    </row>
    <row r="11" spans="1:12" x14ac:dyDescent="0.3">
      <c r="A11" s="11">
        <v>13656900002068</v>
      </c>
      <c r="B11" s="4" t="s">
        <v>17</v>
      </c>
      <c r="C11" s="12" t="s">
        <v>12</v>
      </c>
      <c r="D11" s="13" t="s">
        <v>18</v>
      </c>
      <c r="E11" s="12">
        <v>66200000</v>
      </c>
      <c r="F11" s="17">
        <v>12.05</v>
      </c>
      <c r="G11" s="12">
        <v>762516</v>
      </c>
      <c r="H11" s="12">
        <v>21457</v>
      </c>
      <c r="I11" s="15">
        <v>42825</v>
      </c>
      <c r="J11" s="12">
        <v>104</v>
      </c>
      <c r="K11" s="15">
        <v>46173</v>
      </c>
      <c r="L11" s="20">
        <v>762545</v>
      </c>
    </row>
    <row r="12" spans="1:12" x14ac:dyDescent="0.3">
      <c r="A12" s="11">
        <v>519206990000007</v>
      </c>
      <c r="B12" s="4" t="s">
        <v>19</v>
      </c>
      <c r="C12" s="12" t="s">
        <v>20</v>
      </c>
      <c r="D12" s="13" t="s">
        <v>21</v>
      </c>
      <c r="E12" s="12">
        <v>50000000</v>
      </c>
      <c r="F12" s="17">
        <v>7.5</v>
      </c>
      <c r="G12" s="12">
        <v>1555310.91</v>
      </c>
      <c r="H12" s="12"/>
      <c r="I12" s="15">
        <v>44088</v>
      </c>
      <c r="J12" s="12">
        <v>48</v>
      </c>
      <c r="K12" s="15">
        <v>45579</v>
      </c>
      <c r="L12" s="20">
        <v>-175.5</v>
      </c>
    </row>
    <row r="13" spans="1:12" x14ac:dyDescent="0.3">
      <c r="A13" s="11">
        <v>395506520010181</v>
      </c>
      <c r="B13" s="4" t="s">
        <v>11</v>
      </c>
      <c r="C13" s="12" t="s">
        <v>20</v>
      </c>
      <c r="D13" s="13" t="s">
        <v>22</v>
      </c>
      <c r="E13" s="12">
        <v>3997000</v>
      </c>
      <c r="F13" s="17">
        <v>8.6</v>
      </c>
      <c r="G13" s="12">
        <v>61111</v>
      </c>
      <c r="H13" s="12"/>
      <c r="I13" s="15">
        <v>44151</v>
      </c>
      <c r="J13" s="12">
        <v>84</v>
      </c>
      <c r="K13" s="15">
        <v>46737</v>
      </c>
      <c r="L13" s="20">
        <v>1283846</v>
      </c>
    </row>
    <row r="14" spans="1:12" x14ac:dyDescent="0.3">
      <c r="A14" s="11">
        <v>519206350000005</v>
      </c>
      <c r="B14" s="4" t="s">
        <v>23</v>
      </c>
      <c r="C14" s="12" t="s">
        <v>20</v>
      </c>
      <c r="D14" s="13" t="s">
        <v>21</v>
      </c>
      <c r="E14" s="12">
        <v>35000000</v>
      </c>
      <c r="F14" s="17">
        <v>12</v>
      </c>
      <c r="G14" s="12">
        <v>583333.32999999996</v>
      </c>
      <c r="H14" s="12">
        <v>184464</v>
      </c>
      <c r="I14" s="15">
        <v>44434</v>
      </c>
      <c r="J14" s="12">
        <v>60</v>
      </c>
      <c r="K14" s="15">
        <v>46291</v>
      </c>
      <c r="L14" s="19">
        <v>14000000.119999999</v>
      </c>
    </row>
    <row r="15" spans="1:12" x14ac:dyDescent="0.3">
      <c r="A15" s="11">
        <v>519206350000007</v>
      </c>
      <c r="B15" s="4" t="s">
        <v>24</v>
      </c>
      <c r="C15" s="12" t="s">
        <v>20</v>
      </c>
      <c r="D15" s="13" t="s">
        <v>21</v>
      </c>
      <c r="E15" s="12">
        <v>6100000</v>
      </c>
      <c r="F15" s="17">
        <v>11.75</v>
      </c>
      <c r="G15" s="12">
        <v>101666.66</v>
      </c>
      <c r="H15" s="12">
        <v>33223</v>
      </c>
      <c r="I15" s="15">
        <v>44434</v>
      </c>
      <c r="J15" s="12">
        <v>60</v>
      </c>
      <c r="K15" s="15">
        <v>46291</v>
      </c>
      <c r="L15" s="20">
        <v>2440000.2400000002</v>
      </c>
    </row>
    <row r="16" spans="1:12" x14ac:dyDescent="0.3">
      <c r="A16" s="11">
        <v>519206350000008</v>
      </c>
      <c r="B16" s="4" t="s">
        <v>24</v>
      </c>
      <c r="C16" s="12" t="s">
        <v>20</v>
      </c>
      <c r="D16" s="13" t="s">
        <v>21</v>
      </c>
      <c r="E16" s="12">
        <v>7000000</v>
      </c>
      <c r="F16" s="17">
        <v>15.5</v>
      </c>
      <c r="G16" s="12">
        <v>116666.66</v>
      </c>
      <c r="H16" s="12">
        <f>21335+141</f>
        <v>21476</v>
      </c>
      <c r="I16" s="15">
        <v>44434</v>
      </c>
      <c r="J16" s="12">
        <v>60</v>
      </c>
      <c r="K16" s="15">
        <v>46292</v>
      </c>
      <c r="L16" s="20">
        <v>2937259.08</v>
      </c>
    </row>
    <row r="17" spans="1:12" x14ac:dyDescent="0.3">
      <c r="A17" s="11">
        <v>519206990000013</v>
      </c>
      <c r="B17" s="4" t="s">
        <v>25</v>
      </c>
      <c r="C17" s="12" t="s">
        <v>20</v>
      </c>
      <c r="D17" s="13" t="s">
        <v>21</v>
      </c>
      <c r="E17" s="12">
        <v>35000000</v>
      </c>
      <c r="F17" s="17">
        <v>7.5</v>
      </c>
      <c r="G17" s="12">
        <v>972222.22</v>
      </c>
      <c r="H17" s="12">
        <v>47945</v>
      </c>
      <c r="I17" s="15">
        <v>44536</v>
      </c>
      <c r="J17" s="12">
        <v>60</v>
      </c>
      <c r="K17" s="15">
        <v>46362</v>
      </c>
      <c r="L17" s="20">
        <v>6805555.6200000001</v>
      </c>
    </row>
    <row r="18" spans="1:12" x14ac:dyDescent="0.3">
      <c r="A18" s="11" t="s">
        <v>26</v>
      </c>
      <c r="B18" s="4" t="s">
        <v>27</v>
      </c>
      <c r="C18" s="12" t="s">
        <v>28</v>
      </c>
      <c r="D18" s="13" t="s">
        <v>29</v>
      </c>
      <c r="E18" s="12">
        <v>26000000</v>
      </c>
      <c r="F18" s="17">
        <v>9.25</v>
      </c>
      <c r="G18" s="12">
        <v>270833</v>
      </c>
      <c r="H18" s="12"/>
      <c r="I18" s="15">
        <v>44279</v>
      </c>
      <c r="J18" s="12">
        <v>96</v>
      </c>
      <c r="K18" s="15">
        <v>47232</v>
      </c>
      <c r="L18" s="20">
        <v>0</v>
      </c>
    </row>
    <row r="19" spans="1:12" x14ac:dyDescent="0.3">
      <c r="A19" s="11" t="s">
        <v>30</v>
      </c>
      <c r="B19" s="4" t="s">
        <v>31</v>
      </c>
      <c r="C19" s="12" t="s">
        <v>30</v>
      </c>
      <c r="D19" s="13" t="s">
        <v>32</v>
      </c>
      <c r="E19" s="12">
        <v>38000000</v>
      </c>
      <c r="F19" s="17">
        <v>10.25</v>
      </c>
      <c r="G19" s="12">
        <v>380000</v>
      </c>
      <c r="H19" s="12"/>
      <c r="I19" s="15"/>
      <c r="J19" s="12"/>
      <c r="K19" s="15"/>
      <c r="L19" s="20">
        <v>37630380.5</v>
      </c>
    </row>
    <row r="20" spans="1:12" x14ac:dyDescent="0.3">
      <c r="A20" s="11">
        <v>13655500004144</v>
      </c>
      <c r="B20" s="4" t="s">
        <v>31</v>
      </c>
      <c r="C20" s="12" t="s">
        <v>12</v>
      </c>
      <c r="D20" s="13" t="s">
        <v>33</v>
      </c>
      <c r="E20" s="12">
        <v>120000000</v>
      </c>
      <c r="F20" s="17">
        <v>12.75</v>
      </c>
      <c r="G20" s="12">
        <v>1200000</v>
      </c>
      <c r="H20" s="12"/>
      <c r="I20" s="15"/>
      <c r="J20" s="12"/>
      <c r="K20" s="15"/>
      <c r="L20" s="20">
        <v>119572924.95999999</v>
      </c>
    </row>
    <row r="21" spans="1:12" x14ac:dyDescent="0.3">
      <c r="A21" s="11" t="s">
        <v>34</v>
      </c>
      <c r="B21" s="4" t="s">
        <v>31</v>
      </c>
      <c r="C21" s="12" t="s">
        <v>20</v>
      </c>
      <c r="D21" s="13" t="s">
        <v>33</v>
      </c>
      <c r="E21" s="12">
        <v>50000000</v>
      </c>
      <c r="F21" s="14">
        <v>12.75</v>
      </c>
      <c r="G21" s="12">
        <v>500000</v>
      </c>
      <c r="H21" s="12">
        <v>60000</v>
      </c>
      <c r="I21" s="15"/>
      <c r="J21" s="12"/>
      <c r="K21" s="15"/>
      <c r="L21" s="20">
        <v>49811496.609999999</v>
      </c>
    </row>
    <row r="22" spans="1:12" x14ac:dyDescent="0.3">
      <c r="A22" s="4"/>
      <c r="B22" s="4"/>
      <c r="C22" s="4"/>
      <c r="D22" s="4"/>
      <c r="E22" s="5">
        <f>SUM(E5:E21)</f>
        <v>457359200</v>
      </c>
      <c r="F22" s="6"/>
      <c r="G22" s="5">
        <f>SUM(G5:G21)</f>
        <v>6790774.4900000002</v>
      </c>
      <c r="H22" s="5"/>
      <c r="I22" s="7"/>
      <c r="J22" s="7"/>
      <c r="K22" s="7"/>
      <c r="L22" s="21">
        <f t="shared" ref="L22" si="0">SUM(L5:L21)</f>
        <v>236921528.58999997</v>
      </c>
    </row>
  </sheetData>
  <autoFilter ref="A4:L22" xr:uid="{F2244DFC-3D73-4686-94B8-E13D167985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</dc:creator>
  <cp:lastModifiedBy>it</cp:lastModifiedBy>
  <dcterms:created xsi:type="dcterms:W3CDTF">2026-04-27T08:11:02Z</dcterms:created>
  <dcterms:modified xsi:type="dcterms:W3CDTF">2026-05-14T09:43:08Z</dcterms:modified>
</cp:coreProperties>
</file>