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OTAK\Data 050526\"/>
    </mc:Choice>
  </mc:AlternateContent>
  <xr:revisionPtr revIDLastSave="0" documentId="13_ncr:1_{82B90E19-1BD9-448B-88B3-9DF2971A0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" sheetId="2" r:id="rId1"/>
    <sheet name="BS" sheetId="3" r:id="rId2"/>
    <sheet name="CFS" sheetId="6" r:id="rId3"/>
    <sheet name="Notes" sheetId="4" r:id="rId4"/>
    <sheet name="EMI SCHEDULE KOTAK" sheetId="1" r:id="rId5"/>
    <sheet name="GECL" sheetId="5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G23" i="2"/>
  <c r="F23" i="2"/>
  <c r="E23" i="2"/>
  <c r="D23" i="2"/>
  <c r="C23" i="2"/>
  <c r="C44" i="2"/>
  <c r="C34" i="6"/>
  <c r="C36" i="6" s="1"/>
  <c r="E34" i="6"/>
  <c r="F34" i="6"/>
  <c r="G34" i="6"/>
  <c r="G36" i="6" s="1"/>
  <c r="D34" i="6"/>
  <c r="D36" i="6" s="1"/>
  <c r="C40" i="6"/>
  <c r="C46" i="6"/>
  <c r="F25" i="6"/>
  <c r="G25" i="6"/>
  <c r="D25" i="6"/>
  <c r="C25" i="6"/>
  <c r="E22" i="6"/>
  <c r="F22" i="6"/>
  <c r="G22" i="6"/>
  <c r="E26" i="6"/>
  <c r="F26" i="6"/>
  <c r="G26" i="6"/>
  <c r="D26" i="6"/>
  <c r="C26" i="6"/>
  <c r="E19" i="6"/>
  <c r="F19" i="6"/>
  <c r="G19" i="6"/>
  <c r="D19" i="6"/>
  <c r="D16" i="6"/>
  <c r="C16" i="6"/>
  <c r="D28" i="6"/>
  <c r="E28" i="6"/>
  <c r="F28" i="6"/>
  <c r="G28" i="6"/>
  <c r="C28" i="6"/>
  <c r="D13" i="6"/>
  <c r="E13" i="6"/>
  <c r="F13" i="6"/>
  <c r="G13" i="6"/>
  <c r="G42" i="6" s="1"/>
  <c r="C13" i="6"/>
  <c r="C42" i="6" s="1"/>
  <c r="D10" i="6"/>
  <c r="E10" i="6"/>
  <c r="F10" i="6"/>
  <c r="G10" i="6"/>
  <c r="C10" i="6"/>
  <c r="F8" i="6"/>
  <c r="G8" i="6"/>
  <c r="G14" i="6" s="1"/>
  <c r="D8" i="6"/>
  <c r="E8" i="6"/>
  <c r="C8" i="6"/>
  <c r="F36" i="6"/>
  <c r="E36" i="6"/>
  <c r="F42" i="6"/>
  <c r="E42" i="6"/>
  <c r="D42" i="6"/>
  <c r="F14" i="6"/>
  <c r="E14" i="6"/>
  <c r="D14" i="6"/>
  <c r="B3" i="6"/>
  <c r="B2" i="6"/>
  <c r="B1" i="6"/>
  <c r="H215" i="4"/>
  <c r="G215" i="4"/>
  <c r="F215" i="4"/>
  <c r="E215" i="4"/>
  <c r="D215" i="4"/>
  <c r="H203" i="4"/>
  <c r="G203" i="4"/>
  <c r="F203" i="4"/>
  <c r="E203" i="4"/>
  <c r="D203" i="4"/>
  <c r="D17" i="3"/>
  <c r="F17" i="3"/>
  <c r="G17" i="3"/>
  <c r="H17" i="3"/>
  <c r="E17" i="3"/>
  <c r="E222" i="4"/>
  <c r="F222" i="4"/>
  <c r="G222" i="4" s="1"/>
  <c r="H222" i="4" s="1"/>
  <c r="D222" i="4"/>
  <c r="H212" i="4"/>
  <c r="G212" i="4"/>
  <c r="F212" i="4"/>
  <c r="E212" i="4"/>
  <c r="H191" i="4"/>
  <c r="G191" i="4"/>
  <c r="F191" i="4"/>
  <c r="E191" i="4"/>
  <c r="D191" i="4"/>
  <c r="H28" i="3"/>
  <c r="H33" i="3" s="1"/>
  <c r="G28" i="3"/>
  <c r="G33" i="3" s="1"/>
  <c r="F28" i="3"/>
  <c r="F33" i="3" s="1"/>
  <c r="E28" i="3"/>
  <c r="D28" i="3"/>
  <c r="D39" i="3"/>
  <c r="E84" i="4"/>
  <c r="D84" i="4"/>
  <c r="E39" i="3"/>
  <c r="F39" i="3"/>
  <c r="G39" i="3"/>
  <c r="H39" i="3"/>
  <c r="E20" i="3"/>
  <c r="F20" i="3"/>
  <c r="G20" i="3"/>
  <c r="H20" i="3"/>
  <c r="D20" i="3"/>
  <c r="E25" i="6" s="1"/>
  <c r="D229" i="4"/>
  <c r="E229" i="4" s="1"/>
  <c r="F229" i="4" s="1"/>
  <c r="G229" i="4" s="1"/>
  <c r="H229" i="4" s="1"/>
  <c r="D228" i="4"/>
  <c r="E228" i="4" s="1"/>
  <c r="F228" i="4" s="1"/>
  <c r="G228" i="4" s="1"/>
  <c r="H228" i="4" s="1"/>
  <c r="D225" i="4"/>
  <c r="E225" i="4" s="1"/>
  <c r="D216" i="4"/>
  <c r="E216" i="4" s="1"/>
  <c r="D212" i="4"/>
  <c r="D217" i="4"/>
  <c r="D40" i="3" s="1"/>
  <c r="D204" i="4"/>
  <c r="D207" i="4" s="1"/>
  <c r="D38" i="3" s="1"/>
  <c r="D192" i="4"/>
  <c r="E192" i="4" s="1"/>
  <c r="F192" i="4" s="1"/>
  <c r="G192" i="4" s="1"/>
  <c r="H192" i="4" s="1"/>
  <c r="D189" i="4"/>
  <c r="E189" i="4" s="1"/>
  <c r="F189" i="4" s="1"/>
  <c r="G189" i="4" s="1"/>
  <c r="H189" i="4" s="1"/>
  <c r="E152" i="4"/>
  <c r="F152" i="4" s="1"/>
  <c r="G152" i="4" s="1"/>
  <c r="H152" i="4" s="1"/>
  <c r="E153" i="4"/>
  <c r="D156" i="4"/>
  <c r="E156" i="4" s="1"/>
  <c r="F156" i="4" s="1"/>
  <c r="G156" i="4" s="1"/>
  <c r="H156" i="4" s="1"/>
  <c r="F153" i="4"/>
  <c r="D142" i="4"/>
  <c r="E142" i="4" s="1"/>
  <c r="F142" i="4" s="1"/>
  <c r="G142" i="4" s="1"/>
  <c r="H142" i="4" s="1"/>
  <c r="D138" i="4"/>
  <c r="E33" i="3"/>
  <c r="D33" i="3"/>
  <c r="E129" i="4"/>
  <c r="E133" i="4" s="1"/>
  <c r="F129" i="4"/>
  <c r="G129" i="4"/>
  <c r="H129" i="4"/>
  <c r="D129" i="4"/>
  <c r="D133" i="4" s="1"/>
  <c r="D111" i="4"/>
  <c r="C97" i="4"/>
  <c r="D8" i="3"/>
  <c r="E73" i="4"/>
  <c r="E16" i="2" s="1"/>
  <c r="D73" i="4"/>
  <c r="D16" i="2" s="1"/>
  <c r="C61" i="4"/>
  <c r="C59" i="4"/>
  <c r="C55" i="4"/>
  <c r="C48" i="4"/>
  <c r="C64" i="4"/>
  <c r="C66" i="4"/>
  <c r="E37" i="4"/>
  <c r="F37" i="4" s="1"/>
  <c r="G37" i="4" s="1"/>
  <c r="H37" i="4" s="1"/>
  <c r="E35" i="4"/>
  <c r="F35" i="4" s="1"/>
  <c r="G35" i="4" s="1"/>
  <c r="H35" i="4" s="1"/>
  <c r="D34" i="4"/>
  <c r="C36" i="4"/>
  <c r="C38" i="4" s="1"/>
  <c r="C13" i="2" s="1"/>
  <c r="H24" i="4"/>
  <c r="G24" i="4"/>
  <c r="F24" i="4"/>
  <c r="E24" i="4"/>
  <c r="E28" i="4"/>
  <c r="F28" i="4" s="1"/>
  <c r="G28" i="4" s="1"/>
  <c r="H28" i="4" s="1"/>
  <c r="H27" i="4"/>
  <c r="G27" i="4"/>
  <c r="F27" i="4"/>
  <c r="E27" i="4"/>
  <c r="E26" i="4"/>
  <c r="C29" i="4"/>
  <c r="C12" i="2" s="1"/>
  <c r="D16" i="4"/>
  <c r="C20" i="4"/>
  <c r="C7" i="2" s="1"/>
  <c r="F9" i="4"/>
  <c r="F6" i="2" s="1"/>
  <c r="E9" i="4"/>
  <c r="E6" i="2" s="1"/>
  <c r="D9" i="4"/>
  <c r="D6" i="2" s="1"/>
  <c r="C9" i="4"/>
  <c r="C6" i="2" s="1"/>
  <c r="H237" i="4"/>
  <c r="H42" i="3" s="1"/>
  <c r="G237" i="4"/>
  <c r="G42" i="3" s="1"/>
  <c r="F237" i="4"/>
  <c r="F42" i="3" s="1"/>
  <c r="H198" i="4"/>
  <c r="G198" i="4"/>
  <c r="F198" i="4"/>
  <c r="H181" i="4"/>
  <c r="G181" i="4"/>
  <c r="F181" i="4"/>
  <c r="H175" i="4"/>
  <c r="G175" i="4"/>
  <c r="F175" i="4"/>
  <c r="H133" i="4"/>
  <c r="G133" i="4"/>
  <c r="F133" i="4"/>
  <c r="H118" i="4"/>
  <c r="G118" i="4"/>
  <c r="F118" i="4"/>
  <c r="E237" i="4"/>
  <c r="E42" i="3" s="1"/>
  <c r="D237" i="4"/>
  <c r="D42" i="3" s="1"/>
  <c r="C237" i="4"/>
  <c r="C42" i="3" s="1"/>
  <c r="C19" i="6" s="1"/>
  <c r="C231" i="4"/>
  <c r="C41" i="3" s="1"/>
  <c r="C217" i="4"/>
  <c r="C40" i="3" s="1"/>
  <c r="C207" i="4"/>
  <c r="C38" i="3" s="1"/>
  <c r="E198" i="4"/>
  <c r="D198" i="4"/>
  <c r="C198" i="4"/>
  <c r="C193" i="4"/>
  <c r="C35" i="3" s="1"/>
  <c r="C18" i="6" s="1"/>
  <c r="E181" i="4"/>
  <c r="D181" i="4"/>
  <c r="C181" i="4"/>
  <c r="E175" i="4"/>
  <c r="D175" i="4"/>
  <c r="C175" i="4"/>
  <c r="C157" i="4"/>
  <c r="C21" i="3" s="1"/>
  <c r="C21" i="6" s="1"/>
  <c r="C133" i="4"/>
  <c r="C17" i="3" s="1"/>
  <c r="E118" i="4"/>
  <c r="D118" i="4"/>
  <c r="C118" i="4"/>
  <c r="C113" i="4"/>
  <c r="C14" i="3" s="1"/>
  <c r="C20" i="6" s="1"/>
  <c r="C107" i="4"/>
  <c r="D29" i="4"/>
  <c r="D12" i="2" s="1"/>
  <c r="D38" i="4"/>
  <c r="D13" i="2" s="1"/>
  <c r="E12" i="3"/>
  <c r="F12" i="3"/>
  <c r="G12" i="3"/>
  <c r="H12" i="3"/>
  <c r="H97" i="4" s="1"/>
  <c r="H107" i="4" s="1"/>
  <c r="D12" i="3"/>
  <c r="H14" i="2"/>
  <c r="G14" i="2"/>
  <c r="F14" i="2"/>
  <c r="E14" i="2"/>
  <c r="D14" i="2"/>
  <c r="G75" i="1"/>
  <c r="F75" i="1"/>
  <c r="E75" i="1"/>
  <c r="D75" i="1"/>
  <c r="C75" i="1"/>
  <c r="G74" i="1"/>
  <c r="F74" i="1"/>
  <c r="E74" i="1"/>
  <c r="D74" i="1"/>
  <c r="C74" i="1"/>
  <c r="G71" i="1"/>
  <c r="F71" i="1"/>
  <c r="E71" i="1"/>
  <c r="D71" i="1"/>
  <c r="C71" i="1"/>
  <c r="H118" i="5"/>
  <c r="H107" i="5"/>
  <c r="H106" i="5"/>
  <c r="H94" i="5"/>
  <c r="H80" i="5"/>
  <c r="H79" i="5"/>
  <c r="H67" i="5"/>
  <c r="H53" i="5"/>
  <c r="H52" i="5"/>
  <c r="H40" i="5"/>
  <c r="H26" i="5"/>
  <c r="H25" i="5"/>
  <c r="H13" i="5"/>
  <c r="C118" i="5"/>
  <c r="C117" i="5"/>
  <c r="C116" i="5"/>
  <c r="C115" i="5"/>
  <c r="C114" i="5"/>
  <c r="C113" i="5"/>
  <c r="G112" i="5"/>
  <c r="C112" i="5"/>
  <c r="E112" i="5" s="1"/>
  <c r="F112" i="5" s="1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90" i="5"/>
  <c r="C89" i="5"/>
  <c r="C88" i="5"/>
  <c r="C87" i="5"/>
  <c r="C86" i="5"/>
  <c r="C85" i="5"/>
  <c r="E85" i="5" s="1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E58" i="5" s="1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G31" i="5" s="1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E31" i="5" s="1"/>
  <c r="F31" i="5" s="1"/>
  <c r="D26" i="5"/>
  <c r="G4" i="5"/>
  <c r="E4" i="5"/>
  <c r="F4" i="5" s="1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G66" i="1"/>
  <c r="G54" i="1"/>
  <c r="G42" i="1"/>
  <c r="G30" i="1"/>
  <c r="G18" i="1"/>
  <c r="D44" i="2" l="1"/>
  <c r="C39" i="6"/>
  <c r="D39" i="6"/>
  <c r="E8" i="3"/>
  <c r="C23" i="6"/>
  <c r="D22" i="6"/>
  <c r="C22" i="6"/>
  <c r="E40" i="6"/>
  <c r="E97" i="4"/>
  <c r="E107" i="4" s="1"/>
  <c r="F40" i="6"/>
  <c r="F97" i="4"/>
  <c r="F107" i="4" s="1"/>
  <c r="G40" i="6"/>
  <c r="G97" i="4"/>
  <c r="G107" i="4" s="1"/>
  <c r="D40" i="6"/>
  <c r="D97" i="4"/>
  <c r="D107" i="4" s="1"/>
  <c r="F43" i="6"/>
  <c r="D43" i="6"/>
  <c r="E43" i="6"/>
  <c r="G43" i="6"/>
  <c r="C43" i="6"/>
  <c r="C14" i="6"/>
  <c r="D231" i="4"/>
  <c r="D41" i="3" s="1"/>
  <c r="E217" i="4"/>
  <c r="E40" i="3" s="1"/>
  <c r="F216" i="4"/>
  <c r="E34" i="4"/>
  <c r="D141" i="4"/>
  <c r="D157" i="4" s="1"/>
  <c r="D21" i="3" s="1"/>
  <c r="D21" i="6" s="1"/>
  <c r="H204" i="4"/>
  <c r="H207" i="4" s="1"/>
  <c r="H38" i="3" s="1"/>
  <c r="G204" i="4"/>
  <c r="G207" i="4" s="1"/>
  <c r="G38" i="3" s="1"/>
  <c r="F204" i="4"/>
  <c r="F207" i="4" s="1"/>
  <c r="F38" i="3" s="1"/>
  <c r="G16" i="6" s="1"/>
  <c r="E204" i="4"/>
  <c r="E207" i="4" s="1"/>
  <c r="E38" i="3" s="1"/>
  <c r="F26" i="4"/>
  <c r="E138" i="4"/>
  <c r="E231" i="4"/>
  <c r="E41" i="3" s="1"/>
  <c r="F225" i="4"/>
  <c r="D193" i="4"/>
  <c r="D35" i="3" s="1"/>
  <c r="E193" i="4"/>
  <c r="E35" i="3" s="1"/>
  <c r="G153" i="4"/>
  <c r="C43" i="3"/>
  <c r="E111" i="4"/>
  <c r="D113" i="4"/>
  <c r="D14" i="3" s="1"/>
  <c r="D20" i="6" s="1"/>
  <c r="E16" i="4"/>
  <c r="D20" i="4"/>
  <c r="D7" i="2" s="1"/>
  <c r="E113" i="4"/>
  <c r="E14" i="3" s="1"/>
  <c r="E20" i="6" s="1"/>
  <c r="F111" i="4"/>
  <c r="F73" i="4"/>
  <c r="F16" i="2" s="1"/>
  <c r="H73" i="4"/>
  <c r="H16" i="2" s="1"/>
  <c r="G73" i="4"/>
  <c r="G16" i="2" s="1"/>
  <c r="C73" i="4"/>
  <c r="C16" i="2" s="1"/>
  <c r="C9" i="2"/>
  <c r="G34" i="4"/>
  <c r="G141" i="4" s="1"/>
  <c r="F38" i="4"/>
  <c r="F13" i="2" s="1"/>
  <c r="C18" i="2"/>
  <c r="E38" i="4"/>
  <c r="E13" i="2" s="1"/>
  <c r="D18" i="2"/>
  <c r="F29" i="4"/>
  <c r="F12" i="2" s="1"/>
  <c r="H26" i="4"/>
  <c r="G29" i="4"/>
  <c r="G12" i="2" s="1"/>
  <c r="E29" i="4"/>
  <c r="E12" i="2" s="1"/>
  <c r="E18" i="2" s="1"/>
  <c r="D9" i="2"/>
  <c r="F16" i="4"/>
  <c r="E20" i="4"/>
  <c r="E7" i="2" s="1"/>
  <c r="E9" i="2" s="1"/>
  <c r="G9" i="4"/>
  <c r="G6" i="2" s="1"/>
  <c r="H9" i="4"/>
  <c r="H6" i="2" s="1"/>
  <c r="C81" i="4"/>
  <c r="D78" i="4" s="1"/>
  <c r="D81" i="4" s="1"/>
  <c r="E78" i="4" s="1"/>
  <c r="E81" i="4" s="1"/>
  <c r="F78" i="4" s="1"/>
  <c r="F81" i="4" s="1"/>
  <c r="G78" i="4" s="1"/>
  <c r="G81" i="4" s="1"/>
  <c r="H78" i="4" s="1"/>
  <c r="H81" i="4" s="1"/>
  <c r="G113" i="5"/>
  <c r="E113" i="5"/>
  <c r="F113" i="5" s="1"/>
  <c r="G85" i="5"/>
  <c r="F85" i="5"/>
  <c r="F58" i="5"/>
  <c r="G58" i="5"/>
  <c r="G32" i="5"/>
  <c r="E32" i="5"/>
  <c r="F32" i="5" s="1"/>
  <c r="E5" i="5"/>
  <c r="F5" i="5" s="1"/>
  <c r="G5" i="5"/>
  <c r="E44" i="2" l="1"/>
  <c r="E45" i="2" s="1"/>
  <c r="F8" i="3"/>
  <c r="D23" i="6"/>
  <c r="E23" i="6"/>
  <c r="E16" i="6"/>
  <c r="F16" i="6"/>
  <c r="E18" i="6"/>
  <c r="D18" i="6"/>
  <c r="D43" i="3"/>
  <c r="F217" i="4"/>
  <c r="F40" i="3" s="1"/>
  <c r="G216" i="4"/>
  <c r="E141" i="4"/>
  <c r="E157" i="4" s="1"/>
  <c r="E21" i="3" s="1"/>
  <c r="E21" i="6" s="1"/>
  <c r="F34" i="4"/>
  <c r="F141" i="4" s="1"/>
  <c r="F138" i="4"/>
  <c r="F157" i="4" s="1"/>
  <c r="F21" i="3" s="1"/>
  <c r="F21" i="6" s="1"/>
  <c r="G26" i="4"/>
  <c r="G138" i="4" s="1"/>
  <c r="H29" i="4"/>
  <c r="H12" i="2" s="1"/>
  <c r="H138" i="4"/>
  <c r="E43" i="3"/>
  <c r="G225" i="4"/>
  <c r="F231" i="4"/>
  <c r="F41" i="3" s="1"/>
  <c r="F193" i="4"/>
  <c r="F35" i="3" s="1"/>
  <c r="G157" i="4"/>
  <c r="G21" i="3" s="1"/>
  <c r="G21" i="6" s="1"/>
  <c r="H153" i="4"/>
  <c r="F113" i="4"/>
  <c r="F14" i="3" s="1"/>
  <c r="F20" i="6" s="1"/>
  <c r="G111" i="4"/>
  <c r="E20" i="2"/>
  <c r="E24" i="2" s="1"/>
  <c r="E28" i="2" s="1"/>
  <c r="E32" i="2" s="1"/>
  <c r="C20" i="2"/>
  <c r="C24" i="2" s="1"/>
  <c r="C28" i="2" s="1"/>
  <c r="C32" i="2" s="1"/>
  <c r="F18" i="2"/>
  <c r="H34" i="4"/>
  <c r="G38" i="4"/>
  <c r="G13" i="2" s="1"/>
  <c r="G18" i="2" s="1"/>
  <c r="D20" i="2"/>
  <c r="D24" i="2" s="1"/>
  <c r="D28" i="2" s="1"/>
  <c r="D32" i="2" s="1"/>
  <c r="G16" i="4"/>
  <c r="F20" i="4"/>
  <c r="F7" i="2" s="1"/>
  <c r="F9" i="2" s="1"/>
  <c r="E114" i="5"/>
  <c r="F114" i="5" s="1"/>
  <c r="G114" i="5"/>
  <c r="G6" i="5"/>
  <c r="E6" i="5"/>
  <c r="F6" i="5" s="1"/>
  <c r="E86" i="5"/>
  <c r="F86" i="5" s="1"/>
  <c r="G86" i="5"/>
  <c r="E59" i="5"/>
  <c r="F59" i="5" s="1"/>
  <c r="G59" i="5"/>
  <c r="E33" i="5"/>
  <c r="F33" i="5" s="1"/>
  <c r="G33" i="5"/>
  <c r="F44" i="2" l="1"/>
  <c r="F45" i="2" s="1"/>
  <c r="G8" i="3"/>
  <c r="F23" i="6"/>
  <c r="F18" i="6"/>
  <c r="G217" i="4"/>
  <c r="G40" i="3" s="1"/>
  <c r="H216" i="4"/>
  <c r="H217" i="4" s="1"/>
  <c r="H40" i="3" s="1"/>
  <c r="H38" i="4"/>
  <c r="H13" i="2" s="1"/>
  <c r="H18" i="2" s="1"/>
  <c r="H141" i="4"/>
  <c r="H157" i="4" s="1"/>
  <c r="H21" i="3" s="1"/>
  <c r="F43" i="3"/>
  <c r="G231" i="4"/>
  <c r="G41" i="3" s="1"/>
  <c r="G23" i="6" s="1"/>
  <c r="H225" i="4"/>
  <c r="H231" i="4" s="1"/>
  <c r="H41" i="3" s="1"/>
  <c r="G193" i="4"/>
  <c r="G35" i="3" s="1"/>
  <c r="G18" i="6" s="1"/>
  <c r="H193" i="4"/>
  <c r="H35" i="3" s="1"/>
  <c r="E36" i="2"/>
  <c r="E41" i="2" s="1"/>
  <c r="E164" i="4"/>
  <c r="E167" i="4" s="1"/>
  <c r="E22" i="3" s="1"/>
  <c r="E24" i="6" s="1"/>
  <c r="E27" i="6" s="1"/>
  <c r="E29" i="6" s="1"/>
  <c r="E30" i="6" s="1"/>
  <c r="E45" i="6" s="1"/>
  <c r="C36" i="2"/>
  <c r="C164" i="4"/>
  <c r="C167" i="4" s="1"/>
  <c r="C22" i="3" s="1"/>
  <c r="C24" i="6" s="1"/>
  <c r="C27" i="6" s="1"/>
  <c r="C29" i="6" s="1"/>
  <c r="C30" i="6" s="1"/>
  <c r="C45" i="6" s="1"/>
  <c r="C47" i="6" s="1"/>
  <c r="D46" i="6" s="1"/>
  <c r="D36" i="2"/>
  <c r="D164" i="4"/>
  <c r="D167" i="4" s="1"/>
  <c r="D22" i="3" s="1"/>
  <c r="D24" i="6" s="1"/>
  <c r="D27" i="6" s="1"/>
  <c r="D29" i="6" s="1"/>
  <c r="D30" i="6" s="1"/>
  <c r="D45" i="6" s="1"/>
  <c r="G113" i="4"/>
  <c r="G14" i="3" s="1"/>
  <c r="G20" i="6" s="1"/>
  <c r="H111" i="4"/>
  <c r="H113" i="4" s="1"/>
  <c r="H14" i="3" s="1"/>
  <c r="E85" i="4"/>
  <c r="C41" i="2"/>
  <c r="C45" i="2"/>
  <c r="F20" i="2"/>
  <c r="F24" i="2" s="1"/>
  <c r="F28" i="2" s="1"/>
  <c r="F32" i="2" s="1"/>
  <c r="G20" i="4"/>
  <c r="G7" i="2" s="1"/>
  <c r="G9" i="2" s="1"/>
  <c r="G20" i="2" s="1"/>
  <c r="G24" i="2" s="1"/>
  <c r="G28" i="2" s="1"/>
  <c r="H16" i="4"/>
  <c r="H20" i="4" s="1"/>
  <c r="H7" i="2" s="1"/>
  <c r="H9" i="2" s="1"/>
  <c r="H20" i="2" s="1"/>
  <c r="H24" i="2" s="1"/>
  <c r="H28" i="2" s="1"/>
  <c r="E115" i="5"/>
  <c r="F115" i="5" s="1"/>
  <c r="G115" i="5"/>
  <c r="G7" i="5"/>
  <c r="E7" i="5"/>
  <c r="F7" i="5" s="1"/>
  <c r="E87" i="5"/>
  <c r="F87" i="5" s="1"/>
  <c r="G87" i="5"/>
  <c r="E60" i="5"/>
  <c r="F60" i="5" s="1"/>
  <c r="G60" i="5"/>
  <c r="E34" i="5"/>
  <c r="F34" i="5" s="1"/>
  <c r="G34" i="5"/>
  <c r="H8" i="3" l="1"/>
  <c r="H44" i="2" s="1"/>
  <c r="H45" i="2" s="1"/>
  <c r="G44" i="2"/>
  <c r="G45" i="2" s="1"/>
  <c r="D47" i="6"/>
  <c r="E46" i="6"/>
  <c r="E47" i="6" s="1"/>
  <c r="G43" i="3"/>
  <c r="H43" i="3"/>
  <c r="D45" i="2"/>
  <c r="D41" i="2"/>
  <c r="F36" i="2"/>
  <c r="F41" i="2" s="1"/>
  <c r="F164" i="4"/>
  <c r="F167" i="4" s="1"/>
  <c r="F22" i="3" s="1"/>
  <c r="F24" i="6" s="1"/>
  <c r="F27" i="6" s="1"/>
  <c r="F29" i="6" s="1"/>
  <c r="F30" i="6" s="1"/>
  <c r="F45" i="6" s="1"/>
  <c r="C85" i="4"/>
  <c r="C89" i="4" s="1"/>
  <c r="C91" i="4" s="1"/>
  <c r="F85" i="4"/>
  <c r="G32" i="2"/>
  <c r="H32" i="2"/>
  <c r="E116" i="5"/>
  <c r="F116" i="5" s="1"/>
  <c r="G116" i="5"/>
  <c r="E8" i="5"/>
  <c r="F8" i="5" s="1"/>
  <c r="G8" i="5"/>
  <c r="E88" i="5"/>
  <c r="F88" i="5" s="1"/>
  <c r="G88" i="5"/>
  <c r="E61" i="5"/>
  <c r="F61" i="5" s="1"/>
  <c r="G61" i="5"/>
  <c r="E35" i="5"/>
  <c r="F35" i="5" s="1"/>
  <c r="G35" i="5"/>
  <c r="F46" i="6" l="1"/>
  <c r="F47" i="6" s="1"/>
  <c r="D85" i="4"/>
  <c r="G36" i="2"/>
  <c r="G41" i="2" s="1"/>
  <c r="G164" i="4"/>
  <c r="G167" i="4" s="1"/>
  <c r="G22" i="3" s="1"/>
  <c r="G24" i="6" s="1"/>
  <c r="G27" i="6" s="1"/>
  <c r="G29" i="6" s="1"/>
  <c r="G30" i="6" s="1"/>
  <c r="G45" i="6" s="1"/>
  <c r="H36" i="2"/>
  <c r="H41" i="2" s="1"/>
  <c r="H164" i="4"/>
  <c r="H167" i="4" s="1"/>
  <c r="H22" i="3" s="1"/>
  <c r="C9" i="3"/>
  <c r="C24" i="3" s="1"/>
  <c r="G85" i="4"/>
  <c r="H85" i="4"/>
  <c r="E117" i="5"/>
  <c r="F117" i="5" s="1"/>
  <c r="G117" i="5"/>
  <c r="E9" i="5"/>
  <c r="F9" i="5" s="1"/>
  <c r="G9" i="5"/>
  <c r="E89" i="5"/>
  <c r="F89" i="5" s="1"/>
  <c r="G89" i="5"/>
  <c r="E62" i="5"/>
  <c r="F62" i="5" s="1"/>
  <c r="G62" i="5"/>
  <c r="E36" i="5"/>
  <c r="F36" i="5" s="1"/>
  <c r="G36" i="5"/>
  <c r="G46" i="6" l="1"/>
  <c r="G47" i="6" s="1"/>
  <c r="D89" i="4"/>
  <c r="D91" i="4" s="1"/>
  <c r="E118" i="5"/>
  <c r="F118" i="5" s="1"/>
  <c r="G118" i="5"/>
  <c r="E10" i="5"/>
  <c r="F10" i="5" s="1"/>
  <c r="G10" i="5"/>
  <c r="E90" i="5"/>
  <c r="F90" i="5" s="1"/>
  <c r="G90" i="5"/>
  <c r="E63" i="5"/>
  <c r="F63" i="5" s="1"/>
  <c r="G63" i="5"/>
  <c r="E37" i="5"/>
  <c r="F37" i="5" s="1"/>
  <c r="G37" i="5"/>
  <c r="D9" i="3" l="1"/>
  <c r="D24" i="3" s="1"/>
  <c r="D44" i="3" s="1"/>
  <c r="E89" i="4"/>
  <c r="E91" i="5"/>
  <c r="F91" i="5" s="1"/>
  <c r="G91" i="5"/>
  <c r="E11" i="5"/>
  <c r="F11" i="5" s="1"/>
  <c r="G11" i="5"/>
  <c r="E64" i="5"/>
  <c r="F64" i="5" s="1"/>
  <c r="G64" i="5"/>
  <c r="E38" i="5"/>
  <c r="F38" i="5" s="1"/>
  <c r="G38" i="5"/>
  <c r="E91" i="4" l="1"/>
  <c r="F84" i="4"/>
  <c r="F89" i="4"/>
  <c r="E9" i="3"/>
  <c r="E24" i="3" s="1"/>
  <c r="E44" i="3" s="1"/>
  <c r="F9" i="3"/>
  <c r="F24" i="3" s="1"/>
  <c r="F44" i="3" s="1"/>
  <c r="G92" i="5"/>
  <c r="E92" i="5"/>
  <c r="F92" i="5" s="1"/>
  <c r="E12" i="5"/>
  <c r="F12" i="5" s="1"/>
  <c r="G12" i="5"/>
  <c r="E65" i="5"/>
  <c r="F65" i="5" s="1"/>
  <c r="G65" i="5"/>
  <c r="E39" i="5"/>
  <c r="F39" i="5" s="1"/>
  <c r="G39" i="5"/>
  <c r="F91" i="4" l="1"/>
  <c r="G84" i="4"/>
  <c r="G89" i="4" s="1"/>
  <c r="E93" i="5"/>
  <c r="F93" i="5" s="1"/>
  <c r="G93" i="5"/>
  <c r="E13" i="5"/>
  <c r="F13" i="5" s="1"/>
  <c r="G13" i="5"/>
  <c r="E66" i="5"/>
  <c r="F66" i="5" s="1"/>
  <c r="G66" i="5"/>
  <c r="E40" i="5"/>
  <c r="F40" i="5" s="1"/>
  <c r="G40" i="5"/>
  <c r="H84" i="4" l="1"/>
  <c r="H89" i="4" s="1"/>
  <c r="H91" i="4" s="1"/>
  <c r="H9" i="3" s="1"/>
  <c r="H24" i="3" s="1"/>
  <c r="H44" i="3" s="1"/>
  <c r="G91" i="4"/>
  <c r="G9" i="3" s="1"/>
  <c r="G24" i="3" s="1"/>
  <c r="G44" i="3" s="1"/>
  <c r="G94" i="5"/>
  <c r="E94" i="5"/>
  <c r="F94" i="5" s="1"/>
  <c r="E14" i="5"/>
  <c r="F14" i="5" s="1"/>
  <c r="G14" i="5"/>
  <c r="E67" i="5"/>
  <c r="F67" i="5" s="1"/>
  <c r="G67" i="5"/>
  <c r="E41" i="5"/>
  <c r="F41" i="5" s="1"/>
  <c r="G41" i="5"/>
  <c r="G95" i="5" l="1"/>
  <c r="E95" i="5"/>
  <c r="F95" i="5" s="1"/>
  <c r="E15" i="5"/>
  <c r="F15" i="5" s="1"/>
  <c r="G15" i="5"/>
  <c r="E68" i="5"/>
  <c r="F68" i="5" s="1"/>
  <c r="G68" i="5"/>
  <c r="E42" i="5"/>
  <c r="F42" i="5" s="1"/>
  <c r="G42" i="5"/>
  <c r="E96" i="5" l="1"/>
  <c r="F96" i="5" s="1"/>
  <c r="G96" i="5"/>
  <c r="E16" i="5"/>
  <c r="F16" i="5" s="1"/>
  <c r="G16" i="5"/>
  <c r="E69" i="5"/>
  <c r="F69" i="5" s="1"/>
  <c r="G69" i="5"/>
  <c r="E43" i="5"/>
  <c r="F43" i="5" s="1"/>
  <c r="G43" i="5"/>
  <c r="G97" i="5" l="1"/>
  <c r="E97" i="5"/>
  <c r="F97" i="5" s="1"/>
  <c r="E17" i="5"/>
  <c r="F17" i="5" s="1"/>
  <c r="G17" i="5"/>
  <c r="E70" i="5"/>
  <c r="F70" i="5" s="1"/>
  <c r="G70" i="5"/>
  <c r="E44" i="5"/>
  <c r="F44" i="5" s="1"/>
  <c r="G44" i="5"/>
  <c r="G98" i="5" l="1"/>
  <c r="E98" i="5"/>
  <c r="F98" i="5" s="1"/>
  <c r="E18" i="5"/>
  <c r="F18" i="5" s="1"/>
  <c r="G18" i="5"/>
  <c r="E71" i="5"/>
  <c r="F71" i="5" s="1"/>
  <c r="G71" i="5"/>
  <c r="E45" i="5"/>
  <c r="F45" i="5" s="1"/>
  <c r="G45" i="5"/>
  <c r="E19" i="5" l="1"/>
  <c r="F19" i="5" s="1"/>
  <c r="G19" i="5"/>
  <c r="G99" i="5"/>
  <c r="E99" i="5"/>
  <c r="F99" i="5" s="1"/>
  <c r="E72" i="5"/>
  <c r="F72" i="5" s="1"/>
  <c r="G72" i="5"/>
  <c r="E46" i="5"/>
  <c r="F46" i="5" s="1"/>
  <c r="G46" i="5"/>
  <c r="E20" i="5"/>
  <c r="F20" i="5" s="1"/>
  <c r="G20" i="5"/>
  <c r="G100" i="5" l="1"/>
  <c r="E100" i="5"/>
  <c r="F100" i="5" s="1"/>
  <c r="E73" i="5"/>
  <c r="F73" i="5" s="1"/>
  <c r="G73" i="5"/>
  <c r="E47" i="5"/>
  <c r="F47" i="5" s="1"/>
  <c r="G47" i="5"/>
  <c r="E21" i="5"/>
  <c r="F21" i="5" s="1"/>
  <c r="G21" i="5"/>
  <c r="G101" i="5" l="1"/>
  <c r="E101" i="5"/>
  <c r="F101" i="5" s="1"/>
  <c r="E74" i="5"/>
  <c r="F74" i="5" s="1"/>
  <c r="G74" i="5"/>
  <c r="E48" i="5"/>
  <c r="F48" i="5" s="1"/>
  <c r="G48" i="5"/>
  <c r="E22" i="5"/>
  <c r="F22" i="5" s="1"/>
  <c r="G22" i="5"/>
  <c r="G102" i="5" l="1"/>
  <c r="E102" i="5"/>
  <c r="F102" i="5" s="1"/>
  <c r="E75" i="5"/>
  <c r="F75" i="5" s="1"/>
  <c r="G75" i="5"/>
  <c r="E49" i="5"/>
  <c r="F49" i="5" s="1"/>
  <c r="G49" i="5"/>
  <c r="E23" i="5"/>
  <c r="F23" i="5" s="1"/>
  <c r="G23" i="5"/>
  <c r="G103" i="5" l="1"/>
  <c r="E103" i="5"/>
  <c r="F103" i="5" s="1"/>
  <c r="E76" i="5"/>
  <c r="F76" i="5" s="1"/>
  <c r="G76" i="5"/>
  <c r="E50" i="5"/>
  <c r="F50" i="5" s="1"/>
  <c r="G50" i="5"/>
  <c r="E24" i="5"/>
  <c r="F24" i="5" s="1"/>
  <c r="G24" i="5"/>
  <c r="G104" i="5" l="1"/>
  <c r="E104" i="5"/>
  <c r="F104" i="5" s="1"/>
  <c r="E77" i="5"/>
  <c r="F77" i="5" s="1"/>
  <c r="G77" i="5"/>
  <c r="E51" i="5"/>
  <c r="F51" i="5" s="1"/>
  <c r="G51" i="5"/>
  <c r="E25" i="5"/>
  <c r="F25" i="5" s="1"/>
  <c r="G25" i="5"/>
  <c r="G105" i="5" l="1"/>
  <c r="E105" i="5"/>
  <c r="F105" i="5" s="1"/>
  <c r="E78" i="5"/>
  <c r="F78" i="5" s="1"/>
  <c r="G78" i="5"/>
  <c r="E52" i="5"/>
  <c r="F52" i="5" s="1"/>
  <c r="G52" i="5"/>
  <c r="E26" i="5"/>
  <c r="F26" i="5" s="1"/>
  <c r="G26" i="5"/>
  <c r="G106" i="5" l="1"/>
  <c r="E106" i="5"/>
  <c r="F106" i="5" s="1"/>
  <c r="E79" i="5"/>
  <c r="F79" i="5" s="1"/>
  <c r="G79" i="5"/>
  <c r="E53" i="5"/>
  <c r="F53" i="5" s="1"/>
  <c r="G53" i="5"/>
  <c r="G107" i="5" l="1"/>
  <c r="E107" i="5"/>
  <c r="F107" i="5" s="1"/>
  <c r="E80" i="5"/>
  <c r="F80" i="5" s="1"/>
  <c r="G80" i="5"/>
</calcChain>
</file>

<file path=xl/sharedStrings.xml><?xml version="1.0" encoding="utf-8"?>
<sst xmlns="http://schemas.openxmlformats.org/spreadsheetml/2006/main" count="451" uniqueCount="368">
  <si>
    <t>Disbursment Expected</t>
  </si>
  <si>
    <t>01.06.2026</t>
  </si>
  <si>
    <t>Rate of Interest</t>
  </si>
  <si>
    <t>Kotak Bank Term Laon EMI Schedule</t>
  </si>
  <si>
    <t>Amount Disbursed</t>
  </si>
  <si>
    <t>Month &amp; Year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</si>
  <si>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</si>
  <si>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</si>
  <si>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</si>
  <si>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</si>
  <si>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</si>
  <si>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</si>
  <si>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</si>
  <si>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</si>
  <si>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</si>
  <si>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</si>
  <si>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</si>
  <si>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</si>
  <si>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</si>
  <si>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</si>
  <si>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</si>
  <si>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</si>
  <si>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</si>
  <si>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Oct-2027</t>
  </si>
  <si>
    <t>Nov-2027</t>
  </si>
  <si>
    <t>Dec-2027</t>
  </si>
  <si>
    <t>Jan-2028</t>
  </si>
  <si>
    <t>Feb-2028</t>
  </si>
  <si>
    <t>Mar-2028</t>
  </si>
  <si>
    <t>Apr-2028</t>
  </si>
  <si>
    <t>May-2028</t>
  </si>
  <si>
    <t>Jun-2028</t>
  </si>
  <si>
    <t>Jul-2028</t>
  </si>
  <si>
    <t>Aug-2028</t>
  </si>
  <si>
    <t>Sep-2028</t>
  </si>
  <si>
    <t>Oct-2028</t>
  </si>
  <si>
    <t>Nov-2028</t>
  </si>
  <si>
    <t>Dec-2028</t>
  </si>
  <si>
    <t>Jan-2029</t>
  </si>
  <si>
    <t>Feb-2029</t>
  </si>
  <si>
    <t>Mar-2029</t>
  </si>
  <si>
    <t>Apr-2029</t>
  </si>
  <si>
    <t>May-2029</t>
  </si>
  <si>
    <t>Jun-2029</t>
  </si>
  <si>
    <t>Jul-2029</t>
  </si>
  <si>
    <t>Aug-2029</t>
  </si>
  <si>
    <t>Sep-2029</t>
  </si>
  <si>
    <t>Oct-2029</t>
  </si>
  <si>
    <t>Nov-2029</t>
  </si>
  <si>
    <t>Dec-2029</t>
  </si>
  <si>
    <t>Jan-2030</t>
  </si>
  <si>
    <t>Feb-2030</t>
  </si>
  <si>
    <t>Mar-2030</t>
  </si>
  <si>
    <t>Apr-2030</t>
  </si>
  <si>
    <t>May-2030</t>
  </si>
  <si>
    <t>Jun-2030</t>
  </si>
  <si>
    <t>Jul-2030</t>
  </si>
  <si>
    <t>Aug-2030</t>
  </si>
  <si>
    <t>Sep-2030</t>
  </si>
  <si>
    <t>Oct-2030</t>
  </si>
  <si>
    <t>Nov-2030</t>
  </si>
  <si>
    <t>Dec-2030</t>
  </si>
  <si>
    <t>Jan-2031</t>
  </si>
  <si>
    <t>Feb-2031</t>
  </si>
  <si>
    <t>Mar-2031</t>
  </si>
  <si>
    <t>Apr-2031</t>
  </si>
  <si>
    <t xml:space="preserve">Principal </t>
  </si>
  <si>
    <t xml:space="preserve">Interest </t>
  </si>
  <si>
    <t>EMI</t>
  </si>
  <si>
    <t>Outstanding</t>
  </si>
  <si>
    <t>Interest Payment</t>
  </si>
  <si>
    <t>POPEES BABY CARE PRODUCTS LIMITED</t>
  </si>
  <si>
    <t>STATEMENT OF COMPREHENSIVE INCOME</t>
  </si>
  <si>
    <t>PROVISIONAL</t>
  </si>
  <si>
    <t>PROJECTED</t>
  </si>
  <si>
    <t>STATEMENT OF FINANCIAL POSITION</t>
  </si>
  <si>
    <t>Particulars</t>
  </si>
  <si>
    <t>NOTES TO ACCOUNTS</t>
  </si>
  <si>
    <t>WCDL</t>
  </si>
  <si>
    <t>Interest</t>
  </si>
  <si>
    <t>UNION BANK OF INDIA</t>
  </si>
  <si>
    <t>Principal</t>
  </si>
  <si>
    <t>BALANCE</t>
  </si>
  <si>
    <t>Days</t>
  </si>
  <si>
    <t>UBI TL 007</t>
  </si>
  <si>
    <t>TERM LOAN</t>
  </si>
  <si>
    <t>UBI TL 008</t>
  </si>
  <si>
    <t xml:space="preserve">UBI </t>
  </si>
  <si>
    <t>WCTL</t>
  </si>
  <si>
    <t>FEDERAL BANK</t>
  </si>
  <si>
    <t>TERM LOAN EBO</t>
  </si>
  <si>
    <t>SUMMARY</t>
  </si>
  <si>
    <t>Cash Credit</t>
  </si>
  <si>
    <t>Amount Sanctioned</t>
  </si>
  <si>
    <t>Interest @ 12%</t>
  </si>
  <si>
    <t>Finance Charges</t>
  </si>
  <si>
    <t>Loan Outstanding</t>
  </si>
  <si>
    <t>Revenue from operations</t>
  </si>
  <si>
    <t xml:space="preserve">Other Income </t>
  </si>
  <si>
    <t>Total Income (I+II)</t>
  </si>
  <si>
    <t>Expenses</t>
  </si>
  <si>
    <t>Total Expenses</t>
  </si>
  <si>
    <t>Profit before exceptional and extraordinary iteam and tax</t>
  </si>
  <si>
    <t>Exceptional Iteams</t>
  </si>
  <si>
    <t>Profit before extraordinary iteam and tax</t>
  </si>
  <si>
    <t>Extraordinary Iteams</t>
  </si>
  <si>
    <t>Profit before Tax</t>
  </si>
  <si>
    <t>Tax Expense:</t>
  </si>
  <si>
    <t>(a) Current tax expense</t>
  </si>
  <si>
    <t>(b) Prior year tax adjustments</t>
  </si>
  <si>
    <t>(c) Deferred tax</t>
  </si>
  <si>
    <t xml:space="preserve">Profit / (Loss) for the period from continuing operations </t>
  </si>
  <si>
    <t xml:space="preserve">Profit / (Loss)  from discontinuing operations </t>
  </si>
  <si>
    <t>Tax from discontinuing operations</t>
  </si>
  <si>
    <t>Profit/ (Loss) from discontinuing operations</t>
  </si>
  <si>
    <t>Profit/(Loss) for the Period</t>
  </si>
  <si>
    <t>Earning per equity share:</t>
  </si>
  <si>
    <t xml:space="preserve">(1) Basic </t>
  </si>
  <si>
    <t>(2) Diluted</t>
  </si>
  <si>
    <t>Cost of Goods Sold</t>
  </si>
  <si>
    <t>Employee benefits expenses</t>
  </si>
  <si>
    <t>Finance costs</t>
  </si>
  <si>
    <t>Depreciation and amortisation expenses</t>
  </si>
  <si>
    <t>Other expenses</t>
  </si>
  <si>
    <t>EQUITY AND LIABILITIES</t>
  </si>
  <si>
    <t>Shareholders’ funds</t>
  </si>
  <si>
    <t xml:space="preserve">(a) Share capital </t>
  </si>
  <si>
    <t>(b) Reserves and surplus</t>
  </si>
  <si>
    <t xml:space="preserve"> Share application money pending allotments</t>
  </si>
  <si>
    <t>Non-current liabilities</t>
  </si>
  <si>
    <t>(a) Long-term borrowings</t>
  </si>
  <si>
    <t>(b) Deferred tax liabilities (net)</t>
  </si>
  <si>
    <t>(c) Other Long Term Liabilities</t>
  </si>
  <si>
    <t>(d) Long term provision</t>
  </si>
  <si>
    <t>Current liabilities</t>
  </si>
  <si>
    <t xml:space="preserve">     (a) Short Term Borrowings</t>
  </si>
  <si>
    <t>(b) Trade payables</t>
  </si>
  <si>
    <t>(A) total outstanding dues of micro enterprises and small enterprises</t>
  </si>
  <si>
    <t>(B) total outstanding dues of Creditors other than micro enterprises and small enterprises</t>
  </si>
  <si>
    <t>(c) Other current liabilities</t>
  </si>
  <si>
    <t>(d) Short-term provisions</t>
  </si>
  <si>
    <t>TOTAL</t>
  </si>
  <si>
    <t>ASSETS</t>
  </si>
  <si>
    <t>Non-current assets</t>
  </si>
  <si>
    <t>(a)   (i) Property, Plant and Equipment</t>
  </si>
  <si>
    <t>(ii) Intangible assets</t>
  </si>
  <si>
    <t>(iii) Capital Work in progress</t>
  </si>
  <si>
    <t>(iv) Intangible Assets under Development</t>
  </si>
  <si>
    <t>(b) Non-current investments</t>
  </si>
  <si>
    <t>(c)  Deferred Tax Assets</t>
  </si>
  <si>
    <t>(d) Long term Loans and Advances</t>
  </si>
  <si>
    <t>(e) Other Non Current Assets</t>
  </si>
  <si>
    <t>Current assets</t>
  </si>
  <si>
    <t>(a) Current Investments</t>
  </si>
  <si>
    <t>(b) Inventories</t>
  </si>
  <si>
    <t>(c) Trade receivables</t>
  </si>
  <si>
    <t>(d) Cash and cash equivalents</t>
  </si>
  <si>
    <t>(e) Short-term loans and advances</t>
  </si>
  <si>
    <t>(f) Other Current Assets</t>
  </si>
  <si>
    <t>Sale of Products</t>
  </si>
  <si>
    <t>Sales Others</t>
  </si>
  <si>
    <t>Total</t>
  </si>
  <si>
    <t>Discount Received</t>
  </si>
  <si>
    <t>Franchise Fee Received</t>
  </si>
  <si>
    <t>Freight Charges Collected</t>
  </si>
  <si>
    <t>Interest on Deposits</t>
  </si>
  <si>
    <t>Other Miscellaneous Income</t>
  </si>
  <si>
    <t>Customs Duty Drawback/Incentive</t>
  </si>
  <si>
    <t>Software/IT Support Service Income from Sister Concern</t>
  </si>
  <si>
    <t>Contribution to provident and other fund</t>
  </si>
  <si>
    <t>Gratuity</t>
  </si>
  <si>
    <t>Salaries and wages</t>
  </si>
  <si>
    <t>Staff welfare expenses</t>
  </si>
  <si>
    <t>Frieght and forwarding</t>
  </si>
  <si>
    <t>Loading and unloading charges</t>
  </si>
  <si>
    <t>Administration Expense</t>
  </si>
  <si>
    <t>Advertisement Expense</t>
  </si>
  <si>
    <t>Audit Fee</t>
  </si>
  <si>
    <t>Commission &amp; Brokerage</t>
  </si>
  <si>
    <t>Consulting Fee</t>
  </si>
  <si>
    <t>Discount Allowed</t>
  </si>
  <si>
    <t>Documentation &amp;Processing Charges</t>
  </si>
  <si>
    <t>Insurance</t>
  </si>
  <si>
    <t>Legal and professional charges</t>
  </si>
  <si>
    <t>Miscellaneous Expense</t>
  </si>
  <si>
    <t>Office Expense</t>
  </si>
  <si>
    <t>Power and Fuel</t>
  </si>
  <si>
    <t>Printing and Stationery</t>
  </si>
  <si>
    <t>Rates and taxes</t>
  </si>
  <si>
    <t>Registration and Renewal charges</t>
  </si>
  <si>
    <t>Rent</t>
  </si>
  <si>
    <t>Rounding Off</t>
  </si>
  <si>
    <t>Sample Purchased</t>
  </si>
  <si>
    <t>Security Service Charges</t>
  </si>
  <si>
    <t>Selling expense and sales promotion</t>
  </si>
  <si>
    <t>Software &amp; IT Expense</t>
  </si>
  <si>
    <t>Subscriptions &amp; Membership Charges</t>
  </si>
  <si>
    <t>Telephone, telegram and postage</t>
  </si>
  <si>
    <t>Transportation Charges</t>
  </si>
  <si>
    <t>Travelling Expense</t>
  </si>
  <si>
    <t>Water Charges</t>
  </si>
  <si>
    <t>REVENUE FROM OPERATIONS</t>
  </si>
  <si>
    <t xml:space="preserve">OTHER INCOME </t>
  </si>
  <si>
    <t>COST OF GOODS SOLD</t>
  </si>
  <si>
    <t>EMPLOYEE BENEFIT EXPENSES</t>
  </si>
  <si>
    <t>OTHER EXPENSES</t>
  </si>
  <si>
    <t xml:space="preserve">Total </t>
  </si>
  <si>
    <t>(A) Securities premium account</t>
  </si>
  <si>
    <t>Opening balance</t>
  </si>
  <si>
    <t>Add: Additions during the year</t>
  </si>
  <si>
    <t>Less: Appropriations during the year</t>
  </si>
  <si>
    <t>Closing balance</t>
  </si>
  <si>
    <t xml:space="preserve">(B) Surplus / (Deficit) in Statement of Profit and Loss </t>
  </si>
  <si>
    <t>Profit / (Loss) for the year</t>
  </si>
  <si>
    <t>Less: Dividend Declared and Paid</t>
  </si>
  <si>
    <t>Less:- Bouns share issued</t>
  </si>
  <si>
    <r>
      <rPr>
        <b/>
        <u/>
        <sz val="12"/>
        <color indexed="8"/>
        <rFont val="Times New Roman"/>
        <family val="1"/>
      </rPr>
      <t xml:space="preserve">RESERVES AND SURPLUS </t>
    </r>
    <r>
      <rPr>
        <b/>
        <sz val="12"/>
        <color indexed="8"/>
        <rFont val="Times New Roman"/>
        <family val="1"/>
      </rPr>
      <t xml:space="preserve">                    </t>
    </r>
  </si>
  <si>
    <t>a) Term Loans</t>
  </si>
  <si>
    <t xml:space="preserve">i) From banks </t>
  </si>
  <si>
    <t>Secured</t>
  </si>
  <si>
    <t>Less: Payable within next 12 months treated as Current Liabilities</t>
  </si>
  <si>
    <t>Vehicle Loans</t>
  </si>
  <si>
    <t>ii)From other parties</t>
  </si>
  <si>
    <t>Unsecured</t>
  </si>
  <si>
    <t>b) Loan from Director &amp; Relatives</t>
  </si>
  <si>
    <t>Loan From Directors</t>
  </si>
  <si>
    <t>Loan From Others</t>
  </si>
  <si>
    <t>Loan From Share Holders</t>
  </si>
  <si>
    <t xml:space="preserve">TOTAL  </t>
  </si>
  <si>
    <t>Note 5  OTHER LONG-TERM LIABILITIES</t>
  </si>
  <si>
    <t>Deposit from Distributors/Customers</t>
  </si>
  <si>
    <t>Others (Specify Nature)</t>
  </si>
  <si>
    <t>(i) Secured</t>
  </si>
  <si>
    <t>Federal Bank (CC)</t>
  </si>
  <si>
    <t>Details of  security - 
(a) EM on 50 Cents of Industrial Land (Re Sy No.129 of Thiruvali Village) with Factory Building of 2395.97 Sq M
(b) Hypothecation of goods/stocks and book debts</t>
  </si>
  <si>
    <t>Union Bank (CC)</t>
  </si>
  <si>
    <t>Details of  security - 
 (a) EM on land and building in the name of Shaju Thomas and Linta P Jose
(b) Hypothecation of goods/stocks and book debts</t>
  </si>
  <si>
    <t>National Small Industries Corporation</t>
  </si>
  <si>
    <t>Details of  security - 
(a) Hypothecation of goods/stocks and book debts</t>
  </si>
  <si>
    <t>NBFCs and Others</t>
  </si>
  <si>
    <t>Loan From Directors and Others</t>
  </si>
  <si>
    <t>(ii) Current maturities of long-term debt</t>
  </si>
  <si>
    <t>(a) Employee benefits</t>
  </si>
  <si>
    <t>Salary Payable</t>
  </si>
  <si>
    <t>Staff Incentive Payable</t>
  </si>
  <si>
    <t>(b) Statutory Payable</t>
  </si>
  <si>
    <t>EPF Payable</t>
  </si>
  <si>
    <t>ESI Payable</t>
  </si>
  <si>
    <t>GST Payable</t>
  </si>
  <si>
    <t>Excess Input Tax  Climed To be payable</t>
  </si>
  <si>
    <t>Professional Tax</t>
  </si>
  <si>
    <t>TCS Payable</t>
  </si>
  <si>
    <t>TDS Payable</t>
  </si>
  <si>
    <t>(c )Others</t>
  </si>
  <si>
    <t>Advance from customers</t>
  </si>
  <si>
    <t>Canteen Expenses payable</t>
  </si>
  <si>
    <t>Marketing Expenses payable</t>
  </si>
  <si>
    <t>Rent payable</t>
  </si>
  <si>
    <t xml:space="preserve">Reserves Fund &amp; Commission </t>
  </si>
  <si>
    <t>Audit Fees Payable</t>
  </si>
  <si>
    <t>Other Payable</t>
  </si>
  <si>
    <t>Staff Welfare Fund</t>
  </si>
  <si>
    <t>(a) Provision for employee benefits</t>
  </si>
  <si>
    <t>Gratuity Payable</t>
  </si>
  <si>
    <t>(b) Provision - for Tax</t>
  </si>
  <si>
    <t>Provision for Income Tax</t>
  </si>
  <si>
    <t>(c) Provision - Others</t>
  </si>
  <si>
    <t>Provision for Expense</t>
  </si>
  <si>
    <t>In Wholly-Owned Subsidiary Company</t>
  </si>
  <si>
    <t>Other Investment</t>
  </si>
  <si>
    <t>Loans and Advances to related parties</t>
  </si>
  <si>
    <t>Others</t>
  </si>
  <si>
    <t>Deposits with Bank :-</t>
  </si>
  <si>
    <t xml:space="preserve">Fixed Deposits </t>
  </si>
  <si>
    <t>Security Deposits :-</t>
  </si>
  <si>
    <t>NSC deposits</t>
  </si>
  <si>
    <t>Rent deposit</t>
  </si>
  <si>
    <t>Statutory Deposits</t>
  </si>
  <si>
    <t>(At lower of cost and net realisable value)</t>
  </si>
  <si>
    <t>Finished Goods</t>
  </si>
  <si>
    <t>Raw Material (including Packing Material)</t>
  </si>
  <si>
    <t>W I P</t>
  </si>
  <si>
    <t>Stock with Consignee</t>
  </si>
  <si>
    <t>(a)Cash In Hand</t>
  </si>
  <si>
    <t>Cash In Hand</t>
  </si>
  <si>
    <t>Cash in transit</t>
  </si>
  <si>
    <t>(b)Balance at Bank</t>
  </si>
  <si>
    <t>Bank Balance</t>
  </si>
  <si>
    <t>In Deposit Accounts*</t>
  </si>
  <si>
    <t>1- Statutory Dues Receivables</t>
  </si>
  <si>
    <t>GST credit receivable</t>
  </si>
  <si>
    <t>TDS / TCS receivable</t>
  </si>
  <si>
    <t>2-Other Advances</t>
  </si>
  <si>
    <t>Chits</t>
  </si>
  <si>
    <t>Lease Deposit</t>
  </si>
  <si>
    <t>Credit Card ( AMEX )</t>
  </si>
  <si>
    <t>Other loans and advances</t>
  </si>
  <si>
    <t>Staff advance</t>
  </si>
  <si>
    <t>Loan to Director</t>
  </si>
  <si>
    <t>Advance for expenses</t>
  </si>
  <si>
    <t>Advance to suppliers</t>
  </si>
  <si>
    <t>LONG TERM BORROWINGS</t>
  </si>
  <si>
    <t>LONG-TERM PROVISIONS</t>
  </si>
  <si>
    <t>SHORT TERM BORROWINGS</t>
  </si>
  <si>
    <t>OTHER CURRENT LIABILITIES</t>
  </si>
  <si>
    <t>OTHER CURRENT ASSETS</t>
  </si>
  <si>
    <t>SHORT TERM LOANS AND ADVANCES</t>
  </si>
  <si>
    <t>CASH AND CASH EQUIVALENTS</t>
  </si>
  <si>
    <t>INVENTORIES</t>
  </si>
  <si>
    <t>CURRENT INVESTMENTS</t>
  </si>
  <si>
    <t>OTHER NON CURRENT ASSETS</t>
  </si>
  <si>
    <t>LONG TERM LOANS AND ADVANCES</t>
  </si>
  <si>
    <t>NON CURRENT INVESTMENTS</t>
  </si>
  <si>
    <t>SHORT TERM PROVISIONS</t>
  </si>
  <si>
    <t>Cost of Material Consumed</t>
  </si>
  <si>
    <t>Outsourcing Charges</t>
  </si>
  <si>
    <t>Employee Benefits</t>
  </si>
  <si>
    <t>Transportation and Delivery Charges</t>
  </si>
  <si>
    <t>Other Factory Related Cost</t>
  </si>
  <si>
    <t>Repairs and Maintenance</t>
  </si>
  <si>
    <t>Incentives to Staff</t>
  </si>
  <si>
    <t>Kotak Bank (CC)</t>
  </si>
  <si>
    <t>KSEB Security Deposit</t>
  </si>
  <si>
    <t xml:space="preserve">Cash Flow Statement for the year ended </t>
  </si>
  <si>
    <t>For the year ended                 31 Mar 2026</t>
  </si>
  <si>
    <t>For the year ended                 31 Mar 2027</t>
  </si>
  <si>
    <t>For the year ended                 31 Mar 2028</t>
  </si>
  <si>
    <t>For the year ended                 31 Mar 2029</t>
  </si>
  <si>
    <t>For the year ended                 31 Mar 2030</t>
  </si>
  <si>
    <t>CASH FLOW FROM OPERATING ACTIVITIES</t>
  </si>
  <si>
    <t>Net Profit/(Loss) Before Taxation</t>
  </si>
  <si>
    <t>Adjustments For</t>
  </si>
  <si>
    <t>Depreciation</t>
  </si>
  <si>
    <t>(Profit)/Loss On Sale Of Assets</t>
  </si>
  <si>
    <t>Deferred revenue expenditure</t>
  </si>
  <si>
    <t>Interest And Finance Charge</t>
  </si>
  <si>
    <t>Operating Profit Before Working Capital Changes</t>
  </si>
  <si>
    <t>Adjustments For Working Capital Changes</t>
  </si>
  <si>
    <t>Inventories</t>
  </si>
  <si>
    <t>Loans and advances</t>
  </si>
  <si>
    <t>Other Non Current Assets</t>
  </si>
  <si>
    <t>Other current assets</t>
  </si>
  <si>
    <t>Other Long Term Liabilities</t>
  </si>
  <si>
    <t>Other current liabilities</t>
  </si>
  <si>
    <t>Short term borrowings</t>
  </si>
  <si>
    <t>Short-term loans and advances</t>
  </si>
  <si>
    <t>Short term provisions</t>
  </si>
  <si>
    <t>Trade payables</t>
  </si>
  <si>
    <t>Trade receivables</t>
  </si>
  <si>
    <t>Cash Generated From Operations Before Tax</t>
  </si>
  <si>
    <t>Income Tax Paid</t>
  </si>
  <si>
    <t>Cash Flow Before Prior Period Items</t>
  </si>
  <si>
    <t>Net Cash Flow From/(Used In) Operating Activities</t>
  </si>
  <si>
    <t/>
  </si>
  <si>
    <t>CASH FLOW FROM INVESTING ACTIVITIES</t>
  </si>
  <si>
    <t>Sale Of Asset</t>
  </si>
  <si>
    <t>Purchase Of Fixed Assets</t>
  </si>
  <si>
    <t>Increase In Advance And Others</t>
  </si>
  <si>
    <t>Net Cash Flow From/(Used In) Investing Activities</t>
  </si>
  <si>
    <t>CASH FLOW FROM FINANCING ACTIVITIES</t>
  </si>
  <si>
    <t>Proceeds From Issue Of Shares</t>
  </si>
  <si>
    <t>Proceeds From Long Term Borrowings</t>
  </si>
  <si>
    <t>Dividend proposal /distribution</t>
  </si>
  <si>
    <t>Payment Of Interest And Finance Charges</t>
  </si>
  <si>
    <t>Net Cash Flow From/(Used In) Financing Activities</t>
  </si>
  <si>
    <t>Net Increase / (Decrease)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</si>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</sst>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[$-409]d/mmm/yy;@"/>
    <numFmt numFmtId="167" formatCode="_ * #,##0.0000_ ;_ * \-#,##0.0000_ ;_ * &quot;-&quot;??_ ;_ @_ "/>
    <numFmt numFmtId="168" formatCode="_ * #,##0.00000_ ;_ * \-#,##0.00000_ ;_ * &quot;-&quot;??_ ;_ @_ "/>
    <numFmt numFmtId="169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  <font>
      <b/>
      <u/>
      <sz val="12"/>
      <color indexed="8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1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Font="0" applyFill="0" applyBorder="0" applyAlignment="0" applyProtection="0"/>
    <xf numFmtId="166" fontId="5" fillId="0" borderId="0"/>
    <xf numFmtId="43" fontId="5" fillId="0" borderId="0" applyFont="0" applyFill="0" applyBorder="0" applyAlignment="0" applyProtection="0"/>
    <xf numFmtId="0" fontId="11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2">
    <xf numFmtId="0" fontId="0" fillId="0" borderId="0" xfId="0"/>
    <xf numFmtId="9" fontId="0" fillId="0" borderId="0" xfId="0" applyNumberFormat="1"/>
    <xf numFmtId="0" fontId="2" fillId="0" borderId="0" xfId="0" applyFont="1"/>
    <xf numFmtId="43" fontId="0" fillId="0" borderId="0" xfId="1" applyFont="1"/>
    <xf numFmtId="14" fontId="0" fillId="0" borderId="0" xfId="0" applyNumberFormat="1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164" fontId="0" fillId="2" borderId="0" xfId="0" applyNumberFormat="1" applyFill="1"/>
    <xf numFmtId="164" fontId="0" fillId="0" borderId="0" xfId="0" applyNumberFormat="1"/>
    <xf numFmtId="0" fontId="3" fillId="0" borderId="0" xfId="0" applyFont="1"/>
    <xf numFmtId="15" fontId="3" fillId="0" borderId="0" xfId="0" applyNumberFormat="1" applyFont="1"/>
    <xf numFmtId="2" fontId="2" fillId="0" borderId="0" xfId="0" applyNumberFormat="1" applyFont="1"/>
    <xf numFmtId="43" fontId="0" fillId="0" borderId="0" xfId="0" applyNumberFormat="1"/>
    <xf numFmtId="14" fontId="0" fillId="2" borderId="0" xfId="0" applyNumberFormat="1" applyFill="1"/>
    <xf numFmtId="2" fontId="2" fillId="2" borderId="0" xfId="0" applyNumberFormat="1" applyFont="1" applyFill="1"/>
    <xf numFmtId="43" fontId="0" fillId="2" borderId="0" xfId="1" applyFont="1" applyFill="1"/>
    <xf numFmtId="43" fontId="0" fillId="2" borderId="0" xfId="0" applyNumberFormat="1" applyFill="1"/>
    <xf numFmtId="164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43" fontId="6" fillId="0" borderId="2" xfId="1" applyFont="1" applyFill="1" applyBorder="1" applyAlignment="1">
      <alignment vertical="top"/>
    </xf>
    <xf numFmtId="0" fontId="7" fillId="0" borderId="0" xfId="0" applyFont="1" applyAlignment="1">
      <alignment vertical="top"/>
    </xf>
    <xf numFmtId="165" fontId="6" fillId="0" borderId="2" xfId="1" applyNumberFormat="1" applyFont="1" applyFill="1" applyBorder="1" applyAlignment="1">
      <alignment vertical="top"/>
    </xf>
    <xf numFmtId="0" fontId="4" fillId="0" borderId="0" xfId="0" applyFont="1" applyAlignment="1">
      <alignment horizontal="left" vertical="top"/>
    </xf>
    <xf numFmtId="165" fontId="8" fillId="0" borderId="4" xfId="1" applyNumberFormat="1" applyFont="1" applyFill="1" applyBorder="1" applyAlignment="1">
      <alignment vertical="top"/>
    </xf>
    <xf numFmtId="0" fontId="7" fillId="0" borderId="0" xfId="0" applyFont="1" applyAlignment="1">
      <alignment horizontal="left" vertical="top" indent="2"/>
    </xf>
    <xf numFmtId="165" fontId="6" fillId="0" borderId="4" xfId="1" applyNumberFormat="1" applyFont="1" applyFill="1" applyBorder="1" applyAlignment="1">
      <alignment vertical="top"/>
    </xf>
    <xf numFmtId="165" fontId="6" fillId="0" borderId="3" xfId="1" applyNumberFormat="1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165" fontId="8" fillId="0" borderId="2" xfId="1" applyNumberFormat="1" applyFont="1" applyFill="1" applyBorder="1" applyAlignment="1">
      <alignment vertical="top"/>
    </xf>
    <xf numFmtId="0" fontId="4" fillId="0" borderId="0" xfId="0" quotePrefix="1" applyFont="1" applyAlignment="1">
      <alignment horizontal="left" vertical="top"/>
    </xf>
    <xf numFmtId="165" fontId="8" fillId="0" borderId="5" xfId="1" applyNumberFormat="1" applyFont="1" applyFill="1" applyBorder="1" applyAlignment="1">
      <alignment vertical="top"/>
    </xf>
    <xf numFmtId="43" fontId="8" fillId="0" borderId="2" xfId="1" applyFont="1" applyFill="1" applyBorder="1" applyAlignment="1">
      <alignment vertical="top"/>
    </xf>
    <xf numFmtId="43" fontId="8" fillId="0" borderId="6" xfId="1" applyFont="1" applyFill="1" applyBorder="1" applyAlignment="1">
      <alignment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vertical="top" wrapText="1"/>
    </xf>
    <xf numFmtId="43" fontId="6" fillId="0" borderId="8" xfId="1" applyFont="1" applyFill="1" applyBorder="1" applyAlignment="1">
      <alignment vertical="top"/>
    </xf>
    <xf numFmtId="43" fontId="7" fillId="0" borderId="9" xfId="1" applyFont="1" applyFill="1" applyBorder="1" applyAlignment="1">
      <alignment vertical="top"/>
    </xf>
    <xf numFmtId="15" fontId="3" fillId="0" borderId="10" xfId="0" applyNumberFormat="1" applyFont="1" applyBorder="1"/>
    <xf numFmtId="165" fontId="7" fillId="0" borderId="2" xfId="1" applyNumberFormat="1" applyFont="1" applyFill="1" applyBorder="1" applyAlignment="1">
      <alignment vertical="top"/>
    </xf>
    <xf numFmtId="165" fontId="7" fillId="0" borderId="12" xfId="1" applyNumberFormat="1" applyFont="1" applyFill="1" applyBorder="1" applyAlignment="1">
      <alignment vertical="top"/>
    </xf>
    <xf numFmtId="164" fontId="6" fillId="0" borderId="2" xfId="1" applyNumberFormat="1" applyFont="1" applyFill="1" applyBorder="1" applyAlignment="1">
      <alignment vertical="top"/>
    </xf>
    <xf numFmtId="164" fontId="8" fillId="0" borderId="5" xfId="1" applyNumberFormat="1" applyFont="1" applyFill="1" applyBorder="1" applyAlignment="1">
      <alignment vertical="top"/>
    </xf>
    <xf numFmtId="0" fontId="3" fillId="0" borderId="10" xfId="0" applyFont="1" applyBorder="1"/>
    <xf numFmtId="0" fontId="8" fillId="0" borderId="13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2" xfId="0" applyFont="1" applyBorder="1" applyAlignment="1">
      <alignment horizontal="left" vertical="top" indent="2"/>
    </xf>
    <xf numFmtId="0" fontId="6" fillId="0" borderId="2" xfId="0" applyFont="1" applyBorder="1" applyAlignment="1">
      <alignment vertical="top"/>
    </xf>
    <xf numFmtId="0" fontId="8" fillId="0" borderId="2" xfId="0" applyFont="1" applyBorder="1" applyAlignment="1">
      <alignment horizontal="left" vertical="top" indent="2"/>
    </xf>
    <xf numFmtId="0" fontId="6" fillId="0" borderId="2" xfId="0" applyFont="1" applyBorder="1" applyAlignment="1">
      <alignment horizontal="left" vertical="top" indent="4"/>
    </xf>
    <xf numFmtId="0" fontId="6" fillId="0" borderId="2" xfId="0" applyFont="1" applyBorder="1" applyAlignment="1">
      <alignment horizontal="left" vertical="top" wrapText="1" indent="4"/>
    </xf>
    <xf numFmtId="0" fontId="8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indent="5"/>
    </xf>
    <xf numFmtId="0" fontId="8" fillId="0" borderId="6" xfId="0" applyFont="1" applyBorder="1" applyAlignment="1">
      <alignment horizontal="center" vertical="top"/>
    </xf>
    <xf numFmtId="0" fontId="6" fillId="0" borderId="12" xfId="0" applyFont="1" applyBorder="1" applyAlignment="1">
      <alignment horizontal="left" vertical="top" indent="2"/>
    </xf>
    <xf numFmtId="9" fontId="6" fillId="0" borderId="2" xfId="2" applyFont="1" applyFill="1" applyBorder="1" applyAlignment="1">
      <alignment vertical="top"/>
    </xf>
    <xf numFmtId="0" fontId="9" fillId="0" borderId="0" xfId="0" applyFont="1"/>
    <xf numFmtId="164" fontId="6" fillId="0" borderId="0" xfId="1" applyNumberFormat="1" applyFont="1" applyFill="1" applyBorder="1"/>
    <xf numFmtId="165" fontId="10" fillId="0" borderId="0" xfId="1" quotePrefix="1" applyNumberFormat="1" applyFont="1" applyFill="1" applyBorder="1"/>
    <xf numFmtId="0" fontId="8" fillId="0" borderId="10" xfId="0" applyFont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1" applyNumberFormat="1" applyFont="1" applyFill="1" applyBorder="1" applyAlignment="1"/>
    <xf numFmtId="0" fontId="8" fillId="0" borderId="10" xfId="0" applyFont="1" applyBorder="1" applyAlignment="1">
      <alignment horizontal="center"/>
    </xf>
    <xf numFmtId="164" fontId="8" fillId="0" borderId="5" xfId="1" applyNumberFormat="1" applyFont="1" applyFill="1" applyBorder="1" applyAlignment="1">
      <alignment horizontal="right"/>
    </xf>
    <xf numFmtId="0" fontId="6" fillId="0" borderId="0" xfId="0" applyFont="1"/>
    <xf numFmtId="43" fontId="6" fillId="0" borderId="11" xfId="1" applyFont="1" applyFill="1" applyBorder="1"/>
    <xf numFmtId="0" fontId="9" fillId="0" borderId="0" xfId="0" applyFont="1" applyAlignment="1">
      <alignment horizontal="left" vertical="top"/>
    </xf>
    <xf numFmtId="164" fontId="6" fillId="0" borderId="0" xfId="1" applyNumberFormat="1" applyFont="1" applyFill="1" applyBorder="1" applyAlignment="1">
      <alignment vertical="top"/>
    </xf>
    <xf numFmtId="43" fontId="6" fillId="0" borderId="11" xfId="1" applyFont="1" applyFill="1" applyBorder="1" applyAlignment="1">
      <alignment vertical="top"/>
    </xf>
    <xf numFmtId="0" fontId="6" fillId="0" borderId="12" xfId="0" applyFont="1" applyBorder="1"/>
    <xf numFmtId="164" fontId="6" fillId="0" borderId="12" xfId="1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top"/>
    </xf>
    <xf numFmtId="164" fontId="8" fillId="0" borderId="0" xfId="1" applyNumberFormat="1" applyFont="1" applyFill="1" applyBorder="1" applyAlignment="1">
      <alignment horizontal="left" vertical="top"/>
    </xf>
    <xf numFmtId="0" fontId="6" fillId="0" borderId="12" xfId="0" applyFont="1" applyBorder="1" applyAlignment="1">
      <alignment vertical="top"/>
    </xf>
    <xf numFmtId="164" fontId="6" fillId="0" borderId="13" xfId="1" applyNumberFormat="1" applyFont="1" applyFill="1" applyBorder="1"/>
    <xf numFmtId="164" fontId="6" fillId="0" borderId="2" xfId="1" applyNumberFormat="1" applyFont="1" applyFill="1" applyBorder="1"/>
    <xf numFmtId="165" fontId="6" fillId="0" borderId="2" xfId="1" applyNumberFormat="1" applyFont="1" applyFill="1" applyBorder="1"/>
    <xf numFmtId="0" fontId="6" fillId="0" borderId="12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center" vertical="top"/>
    </xf>
    <xf numFmtId="164" fontId="8" fillId="0" borderId="5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top"/>
    </xf>
    <xf numFmtId="43" fontId="6" fillId="0" borderId="0" xfId="1" applyFont="1" applyFill="1" applyBorder="1" applyAlignment="1">
      <alignment vertical="top"/>
    </xf>
    <xf numFmtId="164" fontId="6" fillId="0" borderId="11" xfId="1" applyNumberFormat="1" applyFont="1" applyFill="1" applyBorder="1"/>
    <xf numFmtId="43" fontId="6" fillId="0" borderId="0" xfId="1" applyFont="1" applyFill="1" applyBorder="1"/>
    <xf numFmtId="43" fontId="8" fillId="0" borderId="0" xfId="1" applyFont="1" applyFill="1" applyBorder="1" applyAlignment="1">
      <alignment horizontal="left" vertical="top"/>
    </xf>
    <xf numFmtId="0" fontId="6" fillId="0" borderId="15" xfId="0" applyFont="1" applyBorder="1" applyAlignment="1">
      <alignment vertical="top"/>
    </xf>
    <xf numFmtId="165" fontId="6" fillId="0" borderId="13" xfId="1" applyNumberFormat="1" applyFont="1" applyFill="1" applyBorder="1"/>
    <xf numFmtId="164" fontId="8" fillId="0" borderId="0" xfId="1" applyNumberFormat="1" applyFont="1" applyFill="1" applyBorder="1" applyAlignment="1">
      <alignment vertical="top"/>
    </xf>
    <xf numFmtId="43" fontId="8" fillId="0" borderId="0" xfId="1" applyFont="1" applyFill="1" applyBorder="1" applyAlignment="1">
      <alignment vertical="top"/>
    </xf>
    <xf numFmtId="0" fontId="6" fillId="0" borderId="12" xfId="0" applyFont="1" applyBorder="1" applyAlignment="1">
      <alignment horizontal="left" indent="3"/>
    </xf>
    <xf numFmtId="164" fontId="6" fillId="0" borderId="11" xfId="1" applyNumberFormat="1" applyFont="1" applyFill="1" applyBorder="1" applyAlignment="1">
      <alignment horizontal="center" vertical="center"/>
    </xf>
    <xf numFmtId="165" fontId="6" fillId="0" borderId="11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4" fontId="0" fillId="0" borderId="0" xfId="0" applyNumberFormat="1"/>
    <xf numFmtId="43" fontId="8" fillId="0" borderId="14" xfId="1" applyFont="1" applyFill="1" applyBorder="1" applyAlignment="1">
      <alignment horizontal="center" vertical="top"/>
    </xf>
    <xf numFmtId="164" fontId="8" fillId="0" borderId="18" xfId="1" applyNumberFormat="1" applyFont="1" applyFill="1" applyBorder="1" applyAlignment="1">
      <alignment vertical="top"/>
    </xf>
    <xf numFmtId="164" fontId="6" fillId="0" borderId="2" xfId="1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vertical="top"/>
    </xf>
    <xf numFmtId="43" fontId="7" fillId="0" borderId="2" xfId="5" applyFont="1" applyFill="1" applyBorder="1" applyAlignment="1">
      <alignment vertical="top"/>
    </xf>
    <xf numFmtId="0" fontId="7" fillId="0" borderId="2" xfId="0" applyFont="1" applyBorder="1" applyAlignment="1">
      <alignment horizontal="left" vertical="top" indent="2"/>
    </xf>
    <xf numFmtId="165" fontId="7" fillId="0" borderId="2" xfId="5" applyNumberFormat="1" applyFont="1" applyFill="1" applyBorder="1"/>
    <xf numFmtId="165" fontId="7" fillId="0" borderId="4" xfId="5" applyNumberFormat="1" applyFont="1" applyFill="1" applyBorder="1"/>
    <xf numFmtId="0" fontId="7" fillId="0" borderId="2" xfId="0" applyFont="1" applyBorder="1" applyAlignment="1">
      <alignment horizontal="left" vertical="top"/>
    </xf>
    <xf numFmtId="165" fontId="7" fillId="0" borderId="2" xfId="5" applyNumberFormat="1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/>
    </xf>
    <xf numFmtId="165" fontId="7" fillId="0" borderId="2" xfId="5" applyNumberFormat="1" applyFont="1" applyFill="1" applyBorder="1" applyAlignment="1" applyProtection="1">
      <alignment vertical="top"/>
    </xf>
    <xf numFmtId="0" fontId="7" fillId="0" borderId="2" xfId="0" applyFont="1" applyBorder="1" applyAlignment="1">
      <alignment vertical="top" wrapText="1"/>
    </xf>
    <xf numFmtId="165" fontId="7" fillId="0" borderId="6" xfId="5" applyNumberFormat="1" applyFont="1" applyFill="1" applyBorder="1" applyAlignment="1" applyProtection="1">
      <alignment vertical="top"/>
    </xf>
    <xf numFmtId="0" fontId="4" fillId="0" borderId="2" xfId="0" applyFont="1" applyBorder="1" applyAlignment="1">
      <alignment horizontal="left" vertical="top" indent="2"/>
    </xf>
    <xf numFmtId="165" fontId="4" fillId="0" borderId="4" xfId="5" applyNumberFormat="1" applyFont="1" applyFill="1" applyBorder="1" applyAlignment="1">
      <alignment vertical="top"/>
    </xf>
    <xf numFmtId="165" fontId="7" fillId="0" borderId="6" xfId="5" applyNumberFormat="1" applyFont="1" applyFill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165" fontId="4" fillId="0" borderId="5" xfId="5" applyNumberFormat="1" applyFont="1" applyFill="1" applyBorder="1" applyAlignment="1">
      <alignment vertical="top"/>
    </xf>
    <xf numFmtId="0" fontId="12" fillId="0" borderId="0" xfId="0" applyFont="1"/>
    <xf numFmtId="43" fontId="7" fillId="0" borderId="0" xfId="5" applyFont="1" applyFill="1" applyBorder="1"/>
    <xf numFmtId="0" fontId="4" fillId="0" borderId="14" xfId="0" applyFont="1" applyBorder="1" applyAlignment="1">
      <alignment horizontal="center" vertical="center"/>
    </xf>
    <xf numFmtId="0" fontId="12" fillId="0" borderId="12" xfId="0" applyFont="1" applyBorder="1"/>
    <xf numFmtId="165" fontId="7" fillId="0" borderId="2" xfId="5" applyNumberFormat="1" applyFont="1" applyFill="1" applyBorder="1" applyAlignment="1">
      <alignment vertical="top" wrapText="1"/>
    </xf>
    <xf numFmtId="0" fontId="4" fillId="0" borderId="12" xfId="0" applyFont="1" applyBorder="1" applyAlignment="1">
      <alignment horizontal="left" vertical="top" wrapText="1" indent="3"/>
    </xf>
    <xf numFmtId="0" fontId="7" fillId="0" borderId="12" xfId="0" applyFont="1" applyBorder="1" applyAlignment="1">
      <alignment horizontal="left" vertical="top" wrapText="1" indent="5"/>
    </xf>
    <xf numFmtId="0" fontId="7" fillId="0" borderId="12" xfId="0" applyFont="1" applyBorder="1" applyAlignment="1">
      <alignment horizontal="left" vertical="top" wrapText="1" indent="3"/>
    </xf>
    <xf numFmtId="0" fontId="4" fillId="0" borderId="1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43" fontId="4" fillId="0" borderId="0" xfId="5" applyFont="1" applyFill="1" applyBorder="1" applyAlignment="1">
      <alignment vertical="top"/>
    </xf>
    <xf numFmtId="165" fontId="7" fillId="0" borderId="11" xfId="5" applyNumberFormat="1" applyFont="1" applyFill="1" applyBorder="1" applyAlignment="1">
      <alignment vertical="top"/>
    </xf>
    <xf numFmtId="0" fontId="7" fillId="0" borderId="12" xfId="0" applyFont="1" applyBorder="1" applyAlignment="1">
      <alignment vertical="top"/>
    </xf>
    <xf numFmtId="43" fontId="7" fillId="0" borderId="11" xfId="5" applyFont="1" applyFill="1" applyBorder="1" applyAlignment="1">
      <alignment vertical="top"/>
    </xf>
    <xf numFmtId="0" fontId="4" fillId="0" borderId="14" xfId="0" applyFont="1" applyBorder="1" applyAlignment="1">
      <alignment horizontal="center" vertical="top" wrapText="1"/>
    </xf>
    <xf numFmtId="164" fontId="4" fillId="0" borderId="5" xfId="5" applyNumberFormat="1" applyFont="1" applyFill="1" applyBorder="1" applyAlignment="1">
      <alignment vertical="top"/>
    </xf>
    <xf numFmtId="43" fontId="4" fillId="0" borderId="13" xfId="5" applyFont="1" applyFill="1" applyBorder="1" applyAlignment="1">
      <alignment vertical="top"/>
    </xf>
    <xf numFmtId="43" fontId="4" fillId="0" borderId="16" xfId="5" applyFont="1" applyFill="1" applyBorder="1" applyAlignment="1">
      <alignment vertical="top"/>
    </xf>
    <xf numFmtId="43" fontId="4" fillId="0" borderId="5" xfId="5" applyFont="1" applyFill="1" applyBorder="1" applyAlignment="1">
      <alignment vertical="top"/>
    </xf>
    <xf numFmtId="0" fontId="4" fillId="0" borderId="0" xfId="0" applyFont="1" applyAlignment="1">
      <alignment horizontal="right" vertical="top"/>
    </xf>
    <xf numFmtId="0" fontId="12" fillId="0" borderId="2" xfId="0" applyFont="1" applyBorder="1" applyAlignment="1">
      <alignment horizontal="left" vertical="top" wrapText="1" indent="2"/>
    </xf>
    <xf numFmtId="43" fontId="7" fillId="0" borderId="2" xfId="5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4"/>
    </xf>
    <xf numFmtId="165" fontId="6" fillId="0" borderId="2" xfId="5" applyNumberFormat="1" applyFont="1" applyFill="1" applyBorder="1" applyAlignment="1">
      <alignment vertical="top" wrapText="1"/>
    </xf>
    <xf numFmtId="0" fontId="7" fillId="0" borderId="2" xfId="0" applyFont="1" applyBorder="1" applyAlignment="1">
      <alignment horizontal="left" vertical="top" wrapText="1" indent="3"/>
    </xf>
    <xf numFmtId="0" fontId="4" fillId="0" borderId="0" xfId="0" applyFont="1"/>
    <xf numFmtId="0" fontId="12" fillId="0" borderId="0" xfId="0" applyFont="1" applyAlignment="1">
      <alignment horizontal="left" vertical="top"/>
    </xf>
    <xf numFmtId="43" fontId="4" fillId="0" borderId="0" xfId="5" applyFont="1" applyFill="1" applyBorder="1" applyAlignment="1">
      <alignment horizontal="left" vertical="top"/>
    </xf>
    <xf numFmtId="0" fontId="4" fillId="0" borderId="13" xfId="4" applyNumberFormat="1" applyFont="1" applyBorder="1" applyAlignment="1">
      <alignment vertical="top"/>
    </xf>
    <xf numFmtId="43" fontId="4" fillId="0" borderId="2" xfId="5" applyFont="1" applyFill="1" applyBorder="1" applyAlignment="1">
      <alignment horizontal="center" vertical="center" wrapText="1"/>
    </xf>
    <xf numFmtId="43" fontId="4" fillId="0" borderId="11" xfId="5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indent="3"/>
    </xf>
    <xf numFmtId="165" fontId="6" fillId="0" borderId="2" xfId="5" applyNumberFormat="1" applyFont="1" applyFill="1" applyBorder="1" applyAlignment="1">
      <alignment horizontal="center" vertical="center" wrapText="1"/>
    </xf>
    <xf numFmtId="165" fontId="6" fillId="0" borderId="11" xfId="5" applyNumberFormat="1" applyFont="1" applyFill="1" applyBorder="1" applyAlignment="1">
      <alignment horizontal="center" vertical="center" wrapText="1"/>
    </xf>
    <xf numFmtId="165" fontId="7" fillId="0" borderId="11" xfId="5" applyNumberFormat="1" applyFont="1" applyFill="1" applyBorder="1" applyAlignment="1">
      <alignment horizontal="center" vertical="center" wrapText="1"/>
    </xf>
    <xf numFmtId="165" fontId="7" fillId="0" borderId="2" xfId="5" applyNumberFormat="1" applyFont="1" applyFill="1" applyBorder="1" applyAlignment="1">
      <alignment horizontal="center" vertical="center" wrapText="1"/>
    </xf>
    <xf numFmtId="0" fontId="4" fillId="0" borderId="2" xfId="4" applyNumberFormat="1" applyFont="1" applyBorder="1" applyAlignment="1">
      <alignment vertical="top"/>
    </xf>
    <xf numFmtId="164" fontId="7" fillId="0" borderId="2" xfId="5" applyNumberFormat="1" applyFont="1" applyFill="1" applyBorder="1" applyAlignment="1">
      <alignment horizontal="center" vertical="center" wrapText="1"/>
    </xf>
    <xf numFmtId="165" fontId="7" fillId="0" borderId="2" xfId="5" applyNumberFormat="1" applyFont="1" applyFill="1" applyBorder="1" applyAlignment="1">
      <alignment horizontal="center" vertical="center"/>
    </xf>
    <xf numFmtId="165" fontId="7" fillId="0" borderId="11" xfId="5" applyNumberFormat="1" applyFont="1" applyFill="1" applyBorder="1" applyAlignment="1">
      <alignment horizontal="center" vertical="center"/>
    </xf>
    <xf numFmtId="165" fontId="7" fillId="0" borderId="11" xfId="5" applyNumberFormat="1" applyFont="1" applyFill="1" applyBorder="1" applyAlignment="1">
      <alignment horizontal="center" vertical="top" wrapText="1"/>
    </xf>
    <xf numFmtId="165" fontId="4" fillId="0" borderId="5" xfId="5" applyNumberFormat="1" applyFont="1" applyFill="1" applyBorder="1" applyAlignment="1">
      <alignment horizontal="center" vertical="top"/>
    </xf>
    <xf numFmtId="0" fontId="7" fillId="0" borderId="0" xfId="0" applyFont="1"/>
    <xf numFmtId="43" fontId="7" fillId="0" borderId="0" xfId="0" applyNumberFormat="1" applyFont="1"/>
    <xf numFmtId="43" fontId="7" fillId="0" borderId="13" xfId="5" applyFont="1" applyFill="1" applyBorder="1" applyAlignment="1" applyProtection="1">
      <alignment horizontal="right" vertical="top" wrapText="1"/>
    </xf>
    <xf numFmtId="43" fontId="7" fillId="0" borderId="2" xfId="5" applyFont="1" applyFill="1" applyBorder="1" applyAlignment="1" applyProtection="1">
      <alignment horizontal="right" vertical="top" wrapText="1"/>
    </xf>
    <xf numFmtId="0" fontId="4" fillId="0" borderId="2" xfId="4" applyNumberFormat="1" applyFont="1" applyBorder="1" applyAlignment="1">
      <alignment vertical="top" wrapText="1"/>
    </xf>
    <xf numFmtId="165" fontId="6" fillId="0" borderId="2" xfId="5" applyNumberFormat="1" applyFont="1" applyFill="1" applyBorder="1"/>
    <xf numFmtId="165" fontId="7" fillId="0" borderId="2" xfId="5" applyNumberFormat="1" applyFont="1" applyFill="1" applyBorder="1" applyAlignment="1">
      <alignment horizontal="right"/>
    </xf>
    <xf numFmtId="0" fontId="4" fillId="0" borderId="10" xfId="0" applyFont="1" applyBorder="1" applyAlignment="1">
      <alignment horizontal="center" vertical="top"/>
    </xf>
    <xf numFmtId="43" fontId="7" fillId="0" borderId="0" xfId="5" applyFont="1" applyFill="1"/>
    <xf numFmtId="43" fontId="8" fillId="0" borderId="0" xfId="5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/>
    <xf numFmtId="43" fontId="6" fillId="0" borderId="13" xfId="5" applyFont="1" applyFill="1" applyBorder="1"/>
    <xf numFmtId="43" fontId="7" fillId="0" borderId="13" xfId="5" applyFont="1" applyFill="1" applyBorder="1"/>
    <xf numFmtId="0" fontId="7" fillId="0" borderId="12" xfId="0" applyFont="1" applyBorder="1" applyAlignment="1">
      <alignment horizontal="left" wrapText="1" indent="1"/>
    </xf>
    <xf numFmtId="43" fontId="6" fillId="0" borderId="2" xfId="5" applyFont="1" applyFill="1" applyBorder="1"/>
    <xf numFmtId="0" fontId="4" fillId="0" borderId="12" xfId="0" applyFont="1" applyBorder="1" applyAlignment="1">
      <alignment horizontal="left"/>
    </xf>
    <xf numFmtId="43" fontId="7" fillId="0" borderId="2" xfId="5" applyFont="1" applyFill="1" applyBorder="1"/>
    <xf numFmtId="0" fontId="4" fillId="0" borderId="14" xfId="6" applyFont="1" applyBorder="1" applyAlignment="1">
      <alignment horizontal="center" vertical="top"/>
    </xf>
    <xf numFmtId="43" fontId="4" fillId="0" borderId="5" xfId="5" applyFont="1" applyFill="1" applyBorder="1"/>
    <xf numFmtId="43" fontId="6" fillId="0" borderId="0" xfId="5" applyFont="1" applyFill="1" applyBorder="1"/>
    <xf numFmtId="0" fontId="7" fillId="0" borderId="2" xfId="0" applyFont="1" applyBorder="1"/>
    <xf numFmtId="165" fontId="6" fillId="0" borderId="11" xfId="5" applyNumberFormat="1" applyFont="1" applyFill="1" applyBorder="1"/>
    <xf numFmtId="165" fontId="6" fillId="0" borderId="20" xfId="5" applyNumberFormat="1" applyFont="1" applyFill="1" applyBorder="1"/>
    <xf numFmtId="165" fontId="7" fillId="0" borderId="6" xfId="5" applyNumberFormat="1" applyFont="1" applyFill="1" applyBorder="1"/>
    <xf numFmtId="0" fontId="4" fillId="0" borderId="10" xfId="6" applyFont="1" applyBorder="1" applyAlignment="1">
      <alignment horizontal="center" vertical="top"/>
    </xf>
    <xf numFmtId="165" fontId="8" fillId="0" borderId="17" xfId="5" applyNumberFormat="1" applyFont="1" applyFill="1" applyBorder="1"/>
    <xf numFmtId="165" fontId="8" fillId="0" borderId="5" xfId="5" applyNumberFormat="1" applyFont="1" applyFill="1" applyBorder="1"/>
    <xf numFmtId="0" fontId="4" fillId="0" borderId="0" xfId="6" applyFont="1" applyAlignment="1">
      <alignment horizontal="center" vertical="top"/>
    </xf>
    <xf numFmtId="43" fontId="8" fillId="0" borderId="0" xfId="5" applyFont="1" applyFill="1" applyBorder="1"/>
    <xf numFmtId="0" fontId="4" fillId="0" borderId="2" xfId="0" applyFont="1" applyBorder="1"/>
    <xf numFmtId="43" fontId="8" fillId="0" borderId="13" xfId="5" applyFont="1" applyFill="1" applyBorder="1" applyAlignment="1">
      <alignment horizontal="center" vertical="center" wrapText="1"/>
    </xf>
    <xf numFmtId="43" fontId="8" fillId="0" borderId="2" xfId="5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indent="2"/>
    </xf>
    <xf numFmtId="164" fontId="6" fillId="0" borderId="2" xfId="5" applyNumberFormat="1" applyFont="1" applyFill="1" applyBorder="1"/>
    <xf numFmtId="164" fontId="7" fillId="0" borderId="2" xfId="5" applyNumberFormat="1" applyFont="1" applyFill="1" applyBorder="1"/>
    <xf numFmtId="0" fontId="7" fillId="0" borderId="6" xfId="0" applyFont="1" applyBorder="1" applyAlignment="1">
      <alignment horizontal="left" indent="2"/>
    </xf>
    <xf numFmtId="164" fontId="6" fillId="0" borderId="6" xfId="5" applyNumberFormat="1" applyFont="1" applyFill="1" applyBorder="1"/>
    <xf numFmtId="164" fontId="8" fillId="0" borderId="5" xfId="5" applyNumberFormat="1" applyFont="1" applyFill="1" applyBorder="1"/>
    <xf numFmtId="43" fontId="8" fillId="0" borderId="5" xfId="5" applyFont="1" applyFill="1" applyBorder="1"/>
    <xf numFmtId="0" fontId="12" fillId="0" borderId="0" xfId="0" applyFont="1" applyAlignment="1">
      <alignment vertical="top"/>
    </xf>
    <xf numFmtId="43" fontId="12" fillId="0" borderId="0" xfId="5" applyFont="1" applyFill="1" applyBorder="1" applyAlignment="1">
      <alignment vertical="top"/>
    </xf>
    <xf numFmtId="43" fontId="7" fillId="0" borderId="0" xfId="5" applyFont="1" applyFill="1" applyBorder="1" applyAlignment="1">
      <alignment vertical="top" wrapText="1"/>
    </xf>
    <xf numFmtId="43" fontId="7" fillId="0" borderId="0" xfId="5" applyFont="1" applyFill="1" applyBorder="1" applyAlignment="1">
      <alignment vertical="top"/>
    </xf>
    <xf numFmtId="0" fontId="7" fillId="0" borderId="13" xfId="0" applyFont="1" applyBorder="1" applyAlignment="1">
      <alignment horizontal="left" vertical="top"/>
    </xf>
    <xf numFmtId="165" fontId="6" fillId="0" borderId="13" xfId="5" applyNumberFormat="1" applyFont="1" applyFill="1" applyBorder="1"/>
    <xf numFmtId="165" fontId="7" fillId="0" borderId="11" xfId="5" applyNumberFormat="1" applyFont="1" applyFill="1" applyBorder="1"/>
    <xf numFmtId="165" fontId="8" fillId="0" borderId="5" xfId="5" applyNumberFormat="1" applyFont="1" applyFill="1" applyBorder="1" applyAlignment="1">
      <alignment vertical="top"/>
    </xf>
    <xf numFmtId="0" fontId="4" fillId="0" borderId="2" xfId="0" applyFont="1" applyBorder="1" applyAlignment="1">
      <alignment horizontal="left" vertical="center"/>
    </xf>
    <xf numFmtId="165" fontId="6" fillId="0" borderId="6" xfId="5" applyNumberFormat="1" applyFont="1" applyFill="1" applyBorder="1"/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 indent="1"/>
    </xf>
    <xf numFmtId="164" fontId="6" fillId="0" borderId="2" xfId="5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indent="1"/>
    </xf>
    <xf numFmtId="0" fontId="4" fillId="0" borderId="1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43" fontId="8" fillId="0" borderId="0" xfId="5" applyFont="1" applyFill="1" applyBorder="1" applyAlignment="1">
      <alignment vertical="top"/>
    </xf>
    <xf numFmtId="0" fontId="7" fillId="0" borderId="13" xfId="0" applyFont="1" applyBorder="1"/>
    <xf numFmtId="43" fontId="4" fillId="0" borderId="5" xfId="5" applyFont="1" applyFill="1" applyBorder="1" applyAlignment="1">
      <alignment horizontal="right" vertical="top"/>
    </xf>
    <xf numFmtId="9" fontId="8" fillId="0" borderId="0" xfId="2" applyFont="1" applyFill="1" applyBorder="1" applyAlignment="1">
      <alignment horizontal="center" vertical="center"/>
    </xf>
    <xf numFmtId="167" fontId="0" fillId="0" borderId="0" xfId="1" applyNumberFormat="1" applyFont="1"/>
    <xf numFmtId="165" fontId="0" fillId="0" borderId="0" xfId="0" applyNumberFormat="1"/>
    <xf numFmtId="168" fontId="7" fillId="0" borderId="0" xfId="5" applyNumberFormat="1" applyFont="1" applyFill="1"/>
    <xf numFmtId="0" fontId="16" fillId="0" borderId="27" xfId="0" applyFont="1" applyBorder="1" applyAlignment="1">
      <alignment horizontal="center" vertical="center" wrapText="1"/>
    </xf>
    <xf numFmtId="165" fontId="16" fillId="0" borderId="10" xfId="8" quotePrefix="1" applyNumberFormat="1" applyFont="1" applyFill="1" applyBorder="1" applyAlignment="1">
      <alignment horizontal="center" vertical="center" wrapText="1"/>
    </xf>
    <xf numFmtId="165" fontId="16" fillId="0" borderId="28" xfId="8" quotePrefix="1" applyNumberFormat="1" applyFont="1" applyFill="1" applyBorder="1" applyAlignment="1">
      <alignment horizontal="center" vertical="center" wrapText="1"/>
    </xf>
    <xf numFmtId="0" fontId="17" fillId="0" borderId="7" xfId="0" applyFont="1" applyBorder="1"/>
    <xf numFmtId="165" fontId="15" fillId="0" borderId="13" xfId="8" applyNumberFormat="1" applyFont="1" applyFill="1" applyBorder="1"/>
    <xf numFmtId="165" fontId="15" fillId="0" borderId="29" xfId="8" applyNumberFormat="1" applyFont="1" applyFill="1" applyBorder="1"/>
    <xf numFmtId="0" fontId="16" fillId="0" borderId="24" xfId="0" applyFont="1" applyBorder="1" applyAlignment="1">
      <alignment horizontal="left" indent="1"/>
    </xf>
    <xf numFmtId="43" fontId="15" fillId="0" borderId="2" xfId="1" applyFont="1" applyFill="1" applyBorder="1"/>
    <xf numFmtId="43" fontId="15" fillId="0" borderId="3" xfId="1" applyFont="1" applyFill="1" applyBorder="1"/>
    <xf numFmtId="0" fontId="15" fillId="0" borderId="24" xfId="0" applyFont="1" applyBorder="1" applyAlignment="1">
      <alignment horizontal="left" indent="1"/>
    </xf>
    <xf numFmtId="0" fontId="15" fillId="0" borderId="24" xfId="0" applyFont="1" applyBorder="1" applyAlignment="1">
      <alignment horizontal="left" indent="3"/>
    </xf>
    <xf numFmtId="169" fontId="15" fillId="0" borderId="2" xfId="8" applyNumberFormat="1" applyFont="1" applyFill="1" applyBorder="1"/>
    <xf numFmtId="169" fontId="15" fillId="0" borderId="3" xfId="8" applyNumberFormat="1" applyFont="1" applyFill="1" applyBorder="1"/>
    <xf numFmtId="0" fontId="18" fillId="0" borderId="24" xfId="0" applyFont="1" applyBorder="1" applyAlignment="1">
      <alignment horizontal="left" indent="1"/>
    </xf>
    <xf numFmtId="43" fontId="15" fillId="0" borderId="4" xfId="1" applyFont="1" applyFill="1" applyBorder="1"/>
    <xf numFmtId="43" fontId="15" fillId="0" borderId="30" xfId="1" applyFont="1" applyFill="1" applyBorder="1"/>
    <xf numFmtId="0" fontId="15" fillId="0" borderId="24" xfId="0" applyFont="1" applyBorder="1" applyAlignment="1">
      <alignment horizontal="left" indent="2"/>
    </xf>
    <xf numFmtId="0" fontId="19" fillId="0" borderId="24" xfId="0" applyFont="1" applyBorder="1" applyAlignment="1">
      <alignment horizontal="left" indent="1"/>
    </xf>
    <xf numFmtId="43" fontId="16" fillId="0" borderId="5" xfId="1" applyFont="1" applyFill="1" applyBorder="1"/>
    <xf numFmtId="43" fontId="16" fillId="0" borderId="31" xfId="1" applyFont="1" applyFill="1" applyBorder="1"/>
    <xf numFmtId="0" fontId="20" fillId="0" borderId="24" xfId="0" applyFont="1" applyBorder="1" applyAlignment="1">
      <alignment horizontal="left" indent="1"/>
    </xf>
    <xf numFmtId="0" fontId="17" fillId="0" borderId="24" xfId="0" applyFont="1" applyBorder="1"/>
    <xf numFmtId="43" fontId="15" fillId="0" borderId="6" xfId="1" applyFont="1" applyFill="1" applyBorder="1"/>
    <xf numFmtId="43" fontId="15" fillId="0" borderId="32" xfId="1" applyFont="1" applyFill="1" applyBorder="1"/>
    <xf numFmtId="43" fontId="16" fillId="0" borderId="2" xfId="1" applyFont="1" applyFill="1" applyBorder="1"/>
    <xf numFmtId="43" fontId="16" fillId="0" borderId="3" xfId="1" applyFont="1" applyFill="1" applyBorder="1"/>
    <xf numFmtId="0" fontId="21" fillId="0" borderId="24" xfId="0" applyFont="1" applyBorder="1" applyAlignment="1">
      <alignment horizontal="left" indent="1"/>
    </xf>
    <xf numFmtId="43" fontId="22" fillId="0" borderId="6" xfId="1" applyFont="1" applyFill="1" applyBorder="1"/>
    <xf numFmtId="43" fontId="22" fillId="0" borderId="32" xfId="1" applyFont="1" applyFill="1" applyBorder="1"/>
    <xf numFmtId="0" fontId="16" fillId="0" borderId="26" xfId="0" applyFont="1" applyBorder="1" applyAlignment="1">
      <alignment horizontal="left" vertical="top" wrapText="1"/>
    </xf>
    <xf numFmtId="43" fontId="23" fillId="0" borderId="5" xfId="1" applyFont="1" applyFill="1" applyBorder="1" applyAlignment="1">
      <alignment vertical="top"/>
    </xf>
    <xf numFmtId="43" fontId="23" fillId="0" borderId="31" xfId="1" applyFont="1" applyFill="1" applyBorder="1" applyAlignment="1">
      <alignment vertical="top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169" fontId="0" fillId="0" borderId="0" xfId="0" applyNumberFormat="1"/>
    <xf numFmtId="43" fontId="6" fillId="0" borderId="12" xfId="1" applyFont="1" applyFill="1" applyBorder="1" applyAlignment="1">
      <alignment vertical="top"/>
    </xf>
    <xf numFmtId="169" fontId="6" fillId="0" borderId="2" xfId="1" applyNumberFormat="1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14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top" wrapText="1"/>
    </xf>
  </cellXfs>
  <cellStyles count="9">
    <cellStyle name="Comma" xfId="1" builtinId="3"/>
    <cellStyle name="Comma 10 2 2" xfId="5" xr:uid="{330C77E7-D45F-4A09-825B-A50E0166887F}"/>
    <cellStyle name="Comma 2 2" xfId="3" xr:uid="{A25525FA-F6CB-45C7-A1B5-221F3E05C7B9}"/>
    <cellStyle name="Comma 33" xfId="7" xr:uid="{C904AD44-0070-4B1D-A249-A2A32B2100B4}"/>
    <cellStyle name="Comma 34 2" xfId="8" xr:uid="{4D9E2B7F-E228-4E27-B16C-0AA690A3F865}"/>
    <cellStyle name="Normal" xfId="0" builtinId="0"/>
    <cellStyle name="Normal 2" xfId="6" xr:uid="{9AA2BB8F-43EE-40D9-BB53-12D80693F200}"/>
    <cellStyle name="Normal_ifrs t" xfId="4" xr:uid="{622FFFEE-4C75-4247-A09C-F2C2A8103EA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IALS/PROJECTIONS/PVT%20LTD/POPEES%20BABY%20CARE%20FS%202024.xlsx" TargetMode="External"/><Relationship Id="rId2" Type="http://schemas.openxmlformats.org/officeDocument/2006/relationships/externalLinkPath" Target="file:///E:\FINANCIALS\PVT%20LTD\POPEES%20BABY%20CARE%20FS%202024.xlsx" TargetMode="External"/><Relationship Id="rId1" Type="http://schemas.openxmlformats.org/officeDocument/2006/relationships/externalLinkPath" Target="/FINANCIALS/PROJECTIONS/PVT%20LTD/POPEES%20BABY%20CARE%20F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IALS/PVT%20LTD/FS%20Q4/POPEES%20BABY%20CARE%20PRODUCTS%20LIMITED%20First%20Draft%20Provisional%2025-26.xlsx" TargetMode="External"/><Relationship Id="rId2" Type="http://schemas.openxmlformats.org/officeDocument/2006/relationships/externalLinkPath" Target="file:///E:\FINANCIALS\PVT%20LTD\FS%20Q4\POPEES%20BABY%20CARE%20PRODUCTS%20LIMITED%20First%20Draft%20Provisional%2025-26.xlsx" TargetMode="External"/><Relationship Id="rId1" Type="http://schemas.openxmlformats.org/officeDocument/2006/relationships/externalLinkPath" Target="/FINANCIALS/PVT%20LTD/FS%20Q4/POPEES%20BABY%20CARE%20PRODUCTS%20LIMITED%20First%20Draft%20Provisional%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stract"/>
      <sheetName val="BS"/>
      <sheetName val="CFS"/>
      <sheetName val="SCH BS1"/>
      <sheetName val="SCH BS2"/>
      <sheetName val="DEP CO."/>
      <sheetName val="SCH DR &amp; CR"/>
      <sheetName val="Annex-Note3"/>
      <sheetName val="PL"/>
      <sheetName val="SCH PL"/>
      <sheetName val="ARI"/>
      <sheetName val="TB ADJ"/>
      <sheetName val="JV"/>
      <sheetName val="FULL TB"/>
      <sheetName val="DEP IT."/>
      <sheetName val="Deferd tax"/>
      <sheetName val="GST"/>
      <sheetName val="Cost Of Pdn"/>
      <sheetName val="VENDORS"/>
      <sheetName val="CUSTOMERS"/>
      <sheetName val="FA REGISTER FOR FY 2023-24"/>
      <sheetName val="DELETED ASSET LIST"/>
      <sheetName val="CUSTOMER"/>
      <sheetName val="VENDOR"/>
      <sheetName val="Sheet1"/>
    </sheetNames>
    <sheetDataSet>
      <sheetData sheetId="0" refreshError="1"/>
      <sheetData sheetId="1" refreshError="1">
        <row r="1">
          <cell r="A1" t="str">
            <v>POPEES BABY CARE PRODUCTS PRIVATE LIMITED</v>
          </cell>
        </row>
        <row r="2">
          <cell r="A2" t="str">
            <v>CIN: U51900KL2016PTC045955</v>
          </cell>
        </row>
        <row r="3">
          <cell r="A3" t="str">
            <v>No.II/122 B, Pathiriyal, Malappuram, Kerala 676123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"/>
      <sheetName val="Sheet1"/>
      <sheetName val="BS"/>
    </sheetNames>
    <sheetDataSet>
      <sheetData sheetId="0"/>
      <sheetData sheetId="1"/>
      <sheetData sheetId="2">
        <row r="15">
          <cell r="D15">
            <v>91234628.810000002</v>
          </cell>
        </row>
        <row r="17">
          <cell r="D17">
            <v>121473564.7</v>
          </cell>
        </row>
        <row r="20">
          <cell r="D20">
            <v>204134422.67000002</v>
          </cell>
        </row>
        <row r="23">
          <cell r="D23">
            <v>291558468.64999998</v>
          </cell>
        </row>
        <row r="24">
          <cell r="D24">
            <v>113876469.44000001</v>
          </cell>
        </row>
        <row r="25">
          <cell r="D25">
            <v>30806393</v>
          </cell>
        </row>
        <row r="32">
          <cell r="E32">
            <v>150677558.63651597</v>
          </cell>
        </row>
        <row r="36">
          <cell r="D36">
            <v>6008732.5156445857</v>
          </cell>
        </row>
        <row r="38">
          <cell r="D38">
            <v>36262246.75</v>
          </cell>
        </row>
        <row r="41">
          <cell r="D41">
            <v>480637937.42999995</v>
          </cell>
        </row>
        <row r="42">
          <cell r="D42">
            <v>509555341.53999996</v>
          </cell>
        </row>
        <row r="43">
          <cell r="D43">
            <v>25778361.699999999</v>
          </cell>
        </row>
        <row r="44">
          <cell r="D44">
            <v>32464850.569999993</v>
          </cell>
        </row>
        <row r="45">
          <cell r="D45">
            <v>398823149.21000004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774A-C9B9-4069-8962-D40FFCDDE01A}">
  <dimension ref="B2:I46"/>
  <sheetViews>
    <sheetView tabSelected="1" workbookViewId="0">
      <selection activeCell="B2" sqref="B2:H2"/>
    </sheetView>
  </sheetViews>
  <sheetFormatPr defaultRowHeight="14.4" x14ac:dyDescent="0.3"/>
  <cols>
    <col min="1" max="1" width="2" customWidth="1"/>
    <col min="2" max="2" width="46.44140625" customWidth="1"/>
    <col min="3" max="8" width="16.77734375" customWidth="1"/>
    <col min="9" max="9" width="14.88671875" bestFit="1" customWidth="1"/>
  </cols>
  <sheetData>
    <row r="2" spans="2:9" x14ac:dyDescent="0.3">
      <c r="B2" s="260" t="s">
        <v>71</v>
      </c>
      <c r="C2" s="260"/>
      <c r="D2" s="260"/>
      <c r="E2" s="260"/>
      <c r="F2" s="260"/>
      <c r="G2" s="260"/>
      <c r="H2" s="260"/>
    </row>
    <row r="3" spans="2:9" x14ac:dyDescent="0.3">
      <c r="B3" s="10" t="s">
        <v>72</v>
      </c>
      <c r="C3" s="10" t="s">
        <v>73</v>
      </c>
      <c r="D3" s="10" t="s">
        <v>74</v>
      </c>
      <c r="E3" s="10" t="s">
        <v>74</v>
      </c>
      <c r="F3" s="10" t="s">
        <v>74</v>
      </c>
      <c r="G3" s="10" t="s">
        <v>74</v>
      </c>
      <c r="H3" s="10" t="s">
        <v>74</v>
      </c>
    </row>
    <row r="4" spans="2:9" ht="15.6" x14ac:dyDescent="0.3">
      <c r="B4" s="19" t="s">
        <v>76</v>
      </c>
      <c r="C4" s="39">
        <v>46112</v>
      </c>
      <c r="D4" s="39">
        <v>46477</v>
      </c>
      <c r="E4" s="39">
        <v>46843</v>
      </c>
      <c r="F4" s="39">
        <v>47208</v>
      </c>
      <c r="G4" s="39">
        <v>47573</v>
      </c>
      <c r="H4" s="39">
        <v>47938</v>
      </c>
    </row>
    <row r="5" spans="2:9" ht="15.6" x14ac:dyDescent="0.3">
      <c r="B5" s="20"/>
      <c r="C5" s="21"/>
      <c r="D5" s="21"/>
      <c r="E5" s="21"/>
      <c r="F5" s="21"/>
      <c r="G5" s="21"/>
      <c r="H5" s="21"/>
    </row>
    <row r="6" spans="2:9" ht="15.6" x14ac:dyDescent="0.3">
      <c r="B6" s="22" t="s">
        <v>97</v>
      </c>
      <c r="C6" s="23">
        <f>Notes!C9</f>
        <v>1620031388.5700004</v>
      </c>
      <c r="D6" s="23">
        <f>Notes!D9</f>
        <v>2361771743.3170176</v>
      </c>
      <c r="E6" s="23">
        <f>Notes!E9</f>
        <v>3311385699.9999995</v>
      </c>
      <c r="F6" s="23">
        <f>Notes!F9</f>
        <v>5410473095.2299986</v>
      </c>
      <c r="G6" s="23">
        <f>Notes!G9</f>
        <v>9331983994.6527004</v>
      </c>
      <c r="H6" s="23">
        <f>Notes!H9</f>
        <v>11664979993.315876</v>
      </c>
    </row>
    <row r="7" spans="2:9" ht="15.6" x14ac:dyDescent="0.3">
      <c r="B7" s="22" t="s">
        <v>98</v>
      </c>
      <c r="C7" s="23">
        <f>Notes!C20</f>
        <v>4011740.03</v>
      </c>
      <c r="D7" s="23">
        <f>Notes!D20</f>
        <v>7987554.3448000001</v>
      </c>
      <c r="E7" s="23">
        <f>Notes!E20</f>
        <v>9156658.1489359997</v>
      </c>
      <c r="F7" s="23">
        <f>Notes!F20</f>
        <v>11305564.219361521</v>
      </c>
      <c r="G7" s="23">
        <f>Notes!G20</f>
        <v>12459608.714716827</v>
      </c>
      <c r="H7" s="23">
        <f>Notes!H20</f>
        <v>13619151.324747005</v>
      </c>
    </row>
    <row r="8" spans="2:9" ht="15.6" x14ac:dyDescent="0.3">
      <c r="B8" s="22"/>
      <c r="C8" s="23"/>
      <c r="D8" s="23"/>
      <c r="E8" s="23"/>
      <c r="F8" s="23"/>
      <c r="G8" s="23"/>
      <c r="H8" s="23"/>
    </row>
    <row r="9" spans="2:9" ht="16.2" thickBot="1" x14ac:dyDescent="0.35">
      <c r="B9" s="24" t="s">
        <v>99</v>
      </c>
      <c r="C9" s="25">
        <f>SUM(C6:C7)</f>
        <v>1624043128.6000004</v>
      </c>
      <c r="D9" s="25">
        <f>SUM(D6:D7)</f>
        <v>2369759297.6618176</v>
      </c>
      <c r="E9" s="25">
        <f t="shared" ref="E9:H9" si="0">SUM(E6:E7)</f>
        <v>3320542358.1489353</v>
      </c>
      <c r="F9" s="25">
        <f t="shared" si="0"/>
        <v>5421778659.4493599</v>
      </c>
      <c r="G9" s="25">
        <f t="shared" si="0"/>
        <v>9344443603.3674164</v>
      </c>
      <c r="H9" s="25">
        <f t="shared" si="0"/>
        <v>11678599144.640623</v>
      </c>
    </row>
    <row r="10" spans="2:9" ht="15.6" x14ac:dyDescent="0.3">
      <c r="B10" s="20"/>
      <c r="C10" s="23"/>
      <c r="D10" s="23"/>
      <c r="E10" s="23"/>
      <c r="F10" s="23"/>
      <c r="G10" s="23"/>
      <c r="H10" s="23"/>
    </row>
    <row r="11" spans="2:9" ht="15.6" x14ac:dyDescent="0.3">
      <c r="B11" s="20" t="s">
        <v>100</v>
      </c>
      <c r="C11" s="23"/>
      <c r="D11" s="23"/>
      <c r="E11" s="23"/>
      <c r="F11" s="23"/>
      <c r="G11" s="23"/>
      <c r="H11" s="23"/>
    </row>
    <row r="12" spans="2:9" ht="15.6" x14ac:dyDescent="0.3">
      <c r="B12" s="26" t="s">
        <v>119</v>
      </c>
      <c r="C12" s="23">
        <f>Notes!C29</f>
        <v>1078979187.398622</v>
      </c>
      <c r="D12" s="23">
        <f>Notes!D29</f>
        <v>1022570680.2556596</v>
      </c>
      <c r="E12" s="23">
        <f>Notes!E29</f>
        <v>1611651420.1901894</v>
      </c>
      <c r="F12" s="23">
        <f>Notes!F29</f>
        <v>2697661885.2782931</v>
      </c>
      <c r="G12" s="23">
        <f>Notes!G29</f>
        <v>4188194416.8051286</v>
      </c>
      <c r="H12" s="23">
        <f>Notes!H29</f>
        <v>5392720250.9122124</v>
      </c>
    </row>
    <row r="13" spans="2:9" ht="15.6" x14ac:dyDescent="0.3">
      <c r="B13" s="26" t="s">
        <v>120</v>
      </c>
      <c r="C13" s="23">
        <f>Notes!C38</f>
        <v>96252141.840000004</v>
      </c>
      <c r="D13" s="23">
        <f>Notes!D38</f>
        <v>195929704.42643476</v>
      </c>
      <c r="E13" s="23">
        <f>Notes!E38</f>
        <v>212929704.42643476</v>
      </c>
      <c r="F13" s="23">
        <f>Notes!F38</f>
        <v>223576189.64775652</v>
      </c>
      <c r="G13" s="23">
        <f>Notes!G38</f>
        <v>234754999.13014436</v>
      </c>
      <c r="H13" s="23">
        <f>Notes!H38</f>
        <v>246492749.08665159</v>
      </c>
      <c r="I13" s="13"/>
    </row>
    <row r="14" spans="2:9" ht="15.6" x14ac:dyDescent="0.3">
      <c r="B14" s="26" t="s">
        <v>121</v>
      </c>
      <c r="C14" s="23">
        <v>49550008.100000001</v>
      </c>
      <c r="D14" s="23">
        <f>'EMI SCHEDULE KOTAK'!C74</f>
        <v>39745847.49471578</v>
      </c>
      <c r="E14" s="23">
        <f>'EMI SCHEDULE KOTAK'!D74</f>
        <v>38683493.31884712</v>
      </c>
      <c r="F14" s="23">
        <f>'EMI SCHEDULE KOTAK'!E74</f>
        <v>36596331.976493143</v>
      </c>
      <c r="G14" s="23">
        <f>'EMI SCHEDULE KOTAK'!F74</f>
        <v>35347439</v>
      </c>
      <c r="H14" s="23">
        <f>'EMI SCHEDULE KOTAK'!G74</f>
        <v>33952461</v>
      </c>
    </row>
    <row r="15" spans="2:9" ht="15.6" x14ac:dyDescent="0.3">
      <c r="B15" s="26" t="s">
        <v>122</v>
      </c>
      <c r="C15" s="41">
        <v>13779669.429312013</v>
      </c>
      <c r="D15" s="40">
        <v>20669504.14396802</v>
      </c>
      <c r="E15" s="40">
        <v>31004256.215952031</v>
      </c>
      <c r="F15" s="40">
        <v>46506384.323928043</v>
      </c>
      <c r="G15" s="40">
        <v>69759576.485892057</v>
      </c>
      <c r="H15" s="40">
        <v>104639364.72883809</v>
      </c>
    </row>
    <row r="16" spans="2:9" ht="15.6" x14ac:dyDescent="0.3">
      <c r="B16" s="26" t="s">
        <v>123</v>
      </c>
      <c r="C16" s="23">
        <f>Notes!C73</f>
        <v>149223198.57000002</v>
      </c>
      <c r="D16" s="23">
        <f>Notes!D73</f>
        <v>719270801.10698974</v>
      </c>
      <c r="E16" s="23">
        <f>Notes!E73</f>
        <v>868355075.23266971</v>
      </c>
      <c r="F16" s="23">
        <f>Notes!F73</f>
        <v>1174907801.2375989</v>
      </c>
      <c r="G16" s="23">
        <f>Notes!G73</f>
        <v>1730531502.0991096</v>
      </c>
      <c r="H16" s="23">
        <f>Notes!H73</f>
        <v>2071048365.0400629</v>
      </c>
      <c r="I16" s="13"/>
    </row>
    <row r="17" spans="2:8" ht="15.6" x14ac:dyDescent="0.3">
      <c r="B17" s="22"/>
      <c r="C17" s="23"/>
      <c r="D17" s="23"/>
      <c r="E17" s="23"/>
      <c r="F17" s="23"/>
      <c r="G17" s="23"/>
      <c r="H17" s="23"/>
    </row>
    <row r="18" spans="2:8" ht="16.2" thickBot="1" x14ac:dyDescent="0.35">
      <c r="B18" s="24" t="s">
        <v>101</v>
      </c>
      <c r="C18" s="25">
        <f>SUM(C12:C16)</f>
        <v>1387784205.3379338</v>
      </c>
      <c r="D18" s="25">
        <f>SUM(D12:D16)</f>
        <v>1998186537.4277678</v>
      </c>
      <c r="E18" s="25">
        <f t="shared" ref="E18:H18" si="1">SUM(E12:E16)</f>
        <v>2762623949.3840928</v>
      </c>
      <c r="F18" s="25">
        <f t="shared" si="1"/>
        <v>4179248592.4640698</v>
      </c>
      <c r="G18" s="25">
        <f t="shared" si="1"/>
        <v>6258587933.5202751</v>
      </c>
      <c r="H18" s="25">
        <f t="shared" si="1"/>
        <v>7848853190.767765</v>
      </c>
    </row>
    <row r="19" spans="2:8" ht="15.6" x14ac:dyDescent="0.3">
      <c r="B19" s="22"/>
      <c r="C19" s="56"/>
      <c r="D19" s="56"/>
      <c r="E19" s="56"/>
      <c r="F19" s="56"/>
      <c r="G19" s="56"/>
      <c r="H19" s="56"/>
    </row>
    <row r="20" spans="2:8" ht="16.2" thickBot="1" x14ac:dyDescent="0.35">
      <c r="B20" s="24" t="s">
        <v>102</v>
      </c>
      <c r="C20" s="25">
        <f>C9-C18</f>
        <v>236258923.2620666</v>
      </c>
      <c r="D20" s="25">
        <f>D9-D18</f>
        <v>371572760.2340498</v>
      </c>
      <c r="E20" s="25">
        <f t="shared" ref="E20:H20" si="2">E9-E18</f>
        <v>557918408.76484251</v>
      </c>
      <c r="F20" s="25">
        <f t="shared" si="2"/>
        <v>1242530066.9852901</v>
      </c>
      <c r="G20" s="25">
        <f t="shared" si="2"/>
        <v>3085855669.8471413</v>
      </c>
      <c r="H20" s="25">
        <f t="shared" si="2"/>
        <v>3829745953.872858</v>
      </c>
    </row>
    <row r="21" spans="2:8" ht="15.6" x14ac:dyDescent="0.3">
      <c r="B21" s="22"/>
      <c r="C21" s="23"/>
      <c r="D21" s="23"/>
      <c r="E21" s="23"/>
      <c r="F21" s="23"/>
      <c r="G21" s="23"/>
      <c r="H21" s="23"/>
    </row>
    <row r="22" spans="2:8" ht="15.6" x14ac:dyDescent="0.3">
      <c r="B22" s="20" t="s">
        <v>103</v>
      </c>
      <c r="C22" s="23">
        <v>0</v>
      </c>
      <c r="D22" s="23">
        <v>0</v>
      </c>
      <c r="E22" s="23"/>
      <c r="F22" s="23"/>
      <c r="G22" s="23"/>
      <c r="H22" s="23"/>
    </row>
    <row r="23" spans="2:8" ht="15.6" x14ac:dyDescent="0.3">
      <c r="B23" s="22"/>
      <c r="C23" s="259">
        <f>C21/C6</f>
        <v>0</v>
      </c>
      <c r="D23" s="259">
        <f t="shared" ref="D23:H23" si="3">D21/D6</f>
        <v>0</v>
      </c>
      <c r="E23" s="259">
        <f t="shared" si="3"/>
        <v>0</v>
      </c>
      <c r="F23" s="259">
        <f t="shared" si="3"/>
        <v>0</v>
      </c>
      <c r="G23" s="259">
        <f t="shared" si="3"/>
        <v>0</v>
      </c>
      <c r="H23" s="259">
        <f t="shared" si="3"/>
        <v>0</v>
      </c>
    </row>
    <row r="24" spans="2:8" ht="16.2" thickBot="1" x14ac:dyDescent="0.35">
      <c r="B24" s="24" t="s">
        <v>104</v>
      </c>
      <c r="C24" s="27">
        <f>C20-C22</f>
        <v>236258923.2620666</v>
      </c>
      <c r="D24" s="27">
        <f>D20-D22</f>
        <v>371572760.2340498</v>
      </c>
      <c r="E24" s="27">
        <f t="shared" ref="E24:H24" si="4">E20-E22</f>
        <v>557918408.76484251</v>
      </c>
      <c r="F24" s="27">
        <f t="shared" si="4"/>
        <v>1242530066.9852901</v>
      </c>
      <c r="G24" s="27">
        <f t="shared" si="4"/>
        <v>3085855669.8471413</v>
      </c>
      <c r="H24" s="27">
        <f t="shared" si="4"/>
        <v>3829745953.872858</v>
      </c>
    </row>
    <row r="25" spans="2:8" ht="15.6" x14ac:dyDescent="0.3">
      <c r="B25" s="22"/>
      <c r="C25" s="23"/>
      <c r="D25" s="23"/>
      <c r="E25" s="23"/>
      <c r="F25" s="23"/>
      <c r="G25" s="23"/>
      <c r="H25" s="23"/>
    </row>
    <row r="26" spans="2:8" ht="15.6" x14ac:dyDescent="0.3">
      <c r="B26" s="20" t="s">
        <v>105</v>
      </c>
      <c r="C26" s="23">
        <v>0</v>
      </c>
      <c r="D26" s="23">
        <v>0</v>
      </c>
      <c r="E26" s="23"/>
      <c r="F26" s="23"/>
      <c r="G26" s="23"/>
      <c r="H26" s="23"/>
    </row>
    <row r="27" spans="2:8" ht="15.6" x14ac:dyDescent="0.3">
      <c r="B27" s="22"/>
      <c r="C27" s="23"/>
      <c r="D27" s="23"/>
      <c r="E27" s="23"/>
      <c r="F27" s="23"/>
      <c r="G27" s="23"/>
      <c r="H27" s="23"/>
    </row>
    <row r="28" spans="2:8" ht="16.2" thickBot="1" x14ac:dyDescent="0.35">
      <c r="B28" s="20" t="s">
        <v>106</v>
      </c>
      <c r="C28" s="27">
        <f>C24-C26</f>
        <v>236258923.2620666</v>
      </c>
      <c r="D28" s="27">
        <f>D24-D26</f>
        <v>371572760.2340498</v>
      </c>
      <c r="E28" s="27">
        <f t="shared" ref="E28:H28" si="5">E24-E26</f>
        <v>557918408.76484251</v>
      </c>
      <c r="F28" s="27">
        <f t="shared" si="5"/>
        <v>1242530066.9852901</v>
      </c>
      <c r="G28" s="27">
        <f t="shared" si="5"/>
        <v>3085855669.8471413</v>
      </c>
      <c r="H28" s="27">
        <f t="shared" si="5"/>
        <v>3829745953.872858</v>
      </c>
    </row>
    <row r="29" spans="2:8" ht="15.6" x14ac:dyDescent="0.3">
      <c r="B29" s="22"/>
      <c r="C29" s="23"/>
      <c r="D29" s="23"/>
      <c r="E29" s="23"/>
      <c r="F29" s="23"/>
      <c r="G29" s="23"/>
      <c r="H29" s="23"/>
    </row>
    <row r="30" spans="2:8" ht="15.6" x14ac:dyDescent="0.3">
      <c r="B30" s="22"/>
      <c r="C30" s="23"/>
      <c r="D30" s="23"/>
      <c r="E30" s="23"/>
      <c r="F30" s="23"/>
      <c r="G30" s="23"/>
      <c r="H30" s="23"/>
    </row>
    <row r="31" spans="2:8" ht="15.6" x14ac:dyDescent="0.3">
      <c r="B31" s="20" t="s">
        <v>107</v>
      </c>
      <c r="C31" s="23"/>
      <c r="D31" s="23"/>
      <c r="E31" s="23"/>
      <c r="F31" s="23"/>
      <c r="G31" s="23"/>
      <c r="H31" s="23"/>
    </row>
    <row r="32" spans="2:8" ht="15.6" x14ac:dyDescent="0.3">
      <c r="B32" s="26" t="s">
        <v>108</v>
      </c>
      <c r="C32" s="23">
        <f>C28*0.225</f>
        <v>53158257.733964987</v>
      </c>
      <c r="D32" s="23">
        <f>D28*0.225</f>
        <v>83603871.05266121</v>
      </c>
      <c r="E32" s="23">
        <f t="shared" ref="E32:H32" si="6">E28*0.225</f>
        <v>125531641.97208957</v>
      </c>
      <c r="F32" s="23">
        <f t="shared" si="6"/>
        <v>279569265.07169026</v>
      </c>
      <c r="G32" s="23">
        <f t="shared" si="6"/>
        <v>694317525.71560681</v>
      </c>
      <c r="H32" s="23">
        <f t="shared" si="6"/>
        <v>861692839.62139308</v>
      </c>
    </row>
    <row r="33" spans="2:8" ht="15.6" x14ac:dyDescent="0.3">
      <c r="B33" s="26" t="s">
        <v>109</v>
      </c>
      <c r="C33" s="23">
        <v>0</v>
      </c>
      <c r="D33" s="23"/>
      <c r="E33" s="23"/>
      <c r="F33" s="23"/>
      <c r="G33" s="23"/>
      <c r="H33" s="23"/>
    </row>
    <row r="34" spans="2:8" ht="15.6" x14ac:dyDescent="0.3">
      <c r="B34" s="26" t="s">
        <v>110</v>
      </c>
      <c r="C34" s="23">
        <v>0</v>
      </c>
      <c r="D34" s="23">
        <v>0</v>
      </c>
      <c r="E34" s="23"/>
      <c r="F34" s="23"/>
      <c r="G34" s="23"/>
      <c r="H34" s="23"/>
    </row>
    <row r="35" spans="2:8" ht="15.6" x14ac:dyDescent="0.3">
      <c r="B35" s="29"/>
      <c r="C35" s="23"/>
      <c r="D35" s="23"/>
      <c r="E35" s="23"/>
      <c r="F35" s="23"/>
      <c r="G35" s="23"/>
      <c r="H35" s="23"/>
    </row>
    <row r="36" spans="2:8" ht="15.6" x14ac:dyDescent="0.3">
      <c r="B36" s="24" t="s">
        <v>111</v>
      </c>
      <c r="C36" s="23">
        <f>C28-C32-C34-C33</f>
        <v>183100665.52810162</v>
      </c>
      <c r="D36" s="23">
        <f>D28-D32-D34-D33</f>
        <v>287968889.18138862</v>
      </c>
      <c r="E36" s="23">
        <f t="shared" ref="E36:H36" si="7">E28-E32-E34-E33</f>
        <v>432386766.79275292</v>
      </c>
      <c r="F36" s="23">
        <f t="shared" si="7"/>
        <v>962960801.91359973</v>
      </c>
      <c r="G36" s="23">
        <f t="shared" si="7"/>
        <v>2391538144.1315346</v>
      </c>
      <c r="H36" s="23">
        <f t="shared" si="7"/>
        <v>2968053114.2514648</v>
      </c>
    </row>
    <row r="37" spans="2:8" ht="15.6" x14ac:dyDescent="0.3">
      <c r="B37" s="24" t="s">
        <v>112</v>
      </c>
      <c r="C37" s="30">
        <v>0</v>
      </c>
      <c r="D37" s="30">
        <v>0</v>
      </c>
      <c r="E37" s="30"/>
      <c r="F37" s="30"/>
      <c r="G37" s="30"/>
      <c r="H37" s="30"/>
    </row>
    <row r="38" spans="2:8" ht="15.6" x14ac:dyDescent="0.3">
      <c r="B38" s="24" t="s">
        <v>113</v>
      </c>
      <c r="C38" s="30">
        <v>0</v>
      </c>
      <c r="D38" s="30">
        <v>0</v>
      </c>
      <c r="E38" s="30"/>
      <c r="F38" s="30"/>
      <c r="G38" s="30"/>
      <c r="H38" s="30"/>
    </row>
    <row r="39" spans="2:8" ht="15.6" x14ac:dyDescent="0.3">
      <c r="B39" s="24" t="s">
        <v>114</v>
      </c>
      <c r="C39" s="30">
        <v>0</v>
      </c>
      <c r="D39" s="30">
        <v>0</v>
      </c>
      <c r="E39" s="30"/>
      <c r="F39" s="30"/>
      <c r="G39" s="30"/>
      <c r="H39" s="30"/>
    </row>
    <row r="40" spans="2:8" ht="15.6" x14ac:dyDescent="0.3">
      <c r="B40" s="24"/>
      <c r="C40" s="30"/>
      <c r="D40" s="30"/>
      <c r="E40" s="30"/>
      <c r="F40" s="30"/>
      <c r="G40" s="30"/>
      <c r="H40" s="30"/>
    </row>
    <row r="41" spans="2:8" ht="16.2" thickBot="1" x14ac:dyDescent="0.35">
      <c r="B41" s="31" t="s">
        <v>115</v>
      </c>
      <c r="C41" s="32">
        <f>C36+C37+C38+C39</f>
        <v>183100665.52810162</v>
      </c>
      <c r="D41" s="32">
        <f>D36+D37+D38+D39</f>
        <v>287968889.18138862</v>
      </c>
      <c r="E41" s="32">
        <f t="shared" ref="E41:H41" si="8">E36+E37+E38+E39</f>
        <v>432386766.79275292</v>
      </c>
      <c r="F41" s="32">
        <f t="shared" si="8"/>
        <v>962960801.91359973</v>
      </c>
      <c r="G41" s="32">
        <f t="shared" si="8"/>
        <v>2391538144.1315346</v>
      </c>
      <c r="H41" s="32">
        <f t="shared" si="8"/>
        <v>2968053114.2514648</v>
      </c>
    </row>
    <row r="42" spans="2:8" ht="16.2" thickTop="1" x14ac:dyDescent="0.3">
      <c r="B42" s="29"/>
      <c r="C42" s="33"/>
      <c r="D42" s="33"/>
      <c r="E42" s="33"/>
      <c r="F42" s="33"/>
      <c r="G42" s="33"/>
      <c r="H42" s="33"/>
    </row>
    <row r="43" spans="2:8" ht="15.6" x14ac:dyDescent="0.3">
      <c r="B43" s="29" t="s">
        <v>116</v>
      </c>
      <c r="C43" s="33"/>
      <c r="D43" s="33"/>
      <c r="E43" s="33"/>
      <c r="F43" s="33"/>
      <c r="G43" s="33"/>
      <c r="H43" s="33"/>
    </row>
    <row r="44" spans="2:8" ht="15.6" x14ac:dyDescent="0.3">
      <c r="B44" s="29" t="s">
        <v>117</v>
      </c>
      <c r="C44" s="33">
        <f>C41/(BS!C8/10)</f>
        <v>8.4881955417294872</v>
      </c>
      <c r="D44" s="33">
        <f>D41/(BS!D8/10)</f>
        <v>12.715512662128209</v>
      </c>
      <c r="E44" s="33">
        <f>E41/(BS!E8/10)</f>
        <v>19.09240759902637</v>
      </c>
      <c r="F44" s="33">
        <f>F41/(BS!F8/10)</f>
        <v>42.520358031289973</v>
      </c>
      <c r="G44" s="33">
        <f>G41/(BS!G8/10)</f>
        <v>105.60041273942065</v>
      </c>
      <c r="H44" s="33">
        <f>H41/(BS!H8/10)</f>
        <v>131.0569244595076</v>
      </c>
    </row>
    <row r="45" spans="2:8" ht="15.6" x14ac:dyDescent="0.3">
      <c r="B45" s="29" t="s">
        <v>118</v>
      </c>
      <c r="C45" s="34">
        <f>C44</f>
        <v>8.4881955417294872</v>
      </c>
      <c r="D45" s="34">
        <f>D44</f>
        <v>12.715512662128209</v>
      </c>
      <c r="E45" s="34">
        <f t="shared" ref="E45:H45" si="9">E44</f>
        <v>19.09240759902637</v>
      </c>
      <c r="F45" s="34">
        <f t="shared" si="9"/>
        <v>42.520358031289973</v>
      </c>
      <c r="G45" s="34">
        <f t="shared" si="9"/>
        <v>105.60041273942065</v>
      </c>
      <c r="H45" s="34">
        <f t="shared" si="9"/>
        <v>131.0569244595076</v>
      </c>
    </row>
    <row r="46" spans="2:8" ht="15.6" x14ac:dyDescent="0.3">
      <c r="B46" s="35"/>
      <c r="C46" s="36"/>
      <c r="D46" s="37"/>
      <c r="E46" s="38"/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D197-C83D-4AFA-8601-2EC15E529B98}">
  <dimension ref="B2:H44"/>
  <sheetViews>
    <sheetView topLeftCell="A34" workbookViewId="0">
      <selection activeCell="G54" sqref="G54"/>
    </sheetView>
  </sheetViews>
  <sheetFormatPr defaultRowHeight="14.4" x14ac:dyDescent="0.3"/>
  <cols>
    <col min="1" max="1" width="2" customWidth="1"/>
    <col min="2" max="2" width="46.44140625" customWidth="1"/>
    <col min="3" max="8" width="16.77734375" customWidth="1"/>
  </cols>
  <sheetData>
    <row r="2" spans="2:8" x14ac:dyDescent="0.3">
      <c r="B2" s="260" t="s">
        <v>71</v>
      </c>
      <c r="C2" s="260"/>
      <c r="D2" s="260"/>
      <c r="E2" s="260"/>
      <c r="F2" s="260"/>
      <c r="G2" s="260"/>
      <c r="H2" s="260"/>
    </row>
    <row r="3" spans="2:8" x14ac:dyDescent="0.3">
      <c r="B3" s="10" t="s">
        <v>75</v>
      </c>
      <c r="C3" s="10" t="s">
        <v>73</v>
      </c>
      <c r="D3" s="10" t="s">
        <v>74</v>
      </c>
      <c r="E3" s="10" t="s">
        <v>74</v>
      </c>
      <c r="F3" s="10" t="s">
        <v>74</v>
      </c>
      <c r="G3" s="10" t="s">
        <v>74</v>
      </c>
      <c r="H3" s="10" t="s">
        <v>74</v>
      </c>
    </row>
    <row r="4" spans="2:8" x14ac:dyDescent="0.3">
      <c r="B4" s="44" t="s">
        <v>76</v>
      </c>
      <c r="C4" s="39">
        <v>46112</v>
      </c>
      <c r="D4" s="39">
        <v>46477</v>
      </c>
      <c r="E4" s="39">
        <v>46843</v>
      </c>
      <c r="F4" s="39">
        <v>47208</v>
      </c>
      <c r="G4" s="39">
        <v>47573</v>
      </c>
      <c r="H4" s="39">
        <v>47938</v>
      </c>
    </row>
    <row r="5" spans="2:8" ht="15.6" x14ac:dyDescent="0.3">
      <c r="B5" s="45" t="s">
        <v>124</v>
      </c>
      <c r="C5" s="42"/>
      <c r="D5" s="42"/>
      <c r="E5" s="42"/>
      <c r="F5" s="42"/>
      <c r="G5" s="42"/>
      <c r="H5" s="42"/>
    </row>
    <row r="6" spans="2:8" ht="15.6" x14ac:dyDescent="0.3">
      <c r="B6" s="46"/>
      <c r="C6" s="42"/>
      <c r="D6" s="42"/>
      <c r="E6" s="42"/>
      <c r="F6" s="42"/>
      <c r="G6" s="42"/>
      <c r="H6" s="42"/>
    </row>
    <row r="7" spans="2:8" ht="15.6" x14ac:dyDescent="0.3">
      <c r="B7" s="46" t="s">
        <v>125</v>
      </c>
      <c r="C7" s="42"/>
      <c r="D7" s="42"/>
      <c r="E7" s="42"/>
      <c r="F7" s="42"/>
      <c r="G7" s="42"/>
      <c r="H7" s="42"/>
    </row>
    <row r="8" spans="2:8" ht="15.6" x14ac:dyDescent="0.3">
      <c r="B8" s="47" t="s">
        <v>126</v>
      </c>
      <c r="C8" s="42">
        <v>215712120</v>
      </c>
      <c r="D8" s="42">
        <f>C8+10758410</f>
        <v>226470530</v>
      </c>
      <c r="E8" s="42">
        <f>D8</f>
        <v>226470530</v>
      </c>
      <c r="F8" s="42">
        <f t="shared" ref="F8:H8" si="0">E8</f>
        <v>226470530</v>
      </c>
      <c r="G8" s="42">
        <f t="shared" si="0"/>
        <v>226470530</v>
      </c>
      <c r="H8" s="42">
        <f t="shared" si="0"/>
        <v>226470530</v>
      </c>
    </row>
    <row r="9" spans="2:8" ht="15.6" x14ac:dyDescent="0.3">
      <c r="B9" s="55" t="s">
        <v>127</v>
      </c>
      <c r="C9" s="23">
        <f>Notes!C91</f>
        <v>825818036.52810168</v>
      </c>
      <c r="D9" s="23">
        <f>Notes!D91</f>
        <v>1264404665.7094903</v>
      </c>
      <c r="E9" s="23">
        <f>Notes!E91</f>
        <v>1696791432.5022433</v>
      </c>
      <c r="F9" s="23">
        <f>Notes!F91</f>
        <v>2659752234.415843</v>
      </c>
      <c r="G9" s="23">
        <f>Notes!G91</f>
        <v>5051290378.5473776</v>
      </c>
      <c r="H9" s="23">
        <f>Notes!H91</f>
        <v>8019343492.7988424</v>
      </c>
    </row>
    <row r="10" spans="2:8" ht="15.6" x14ac:dyDescent="0.3">
      <c r="B10" s="46" t="s">
        <v>128</v>
      </c>
      <c r="C10" s="42"/>
      <c r="D10" s="42"/>
      <c r="E10" s="42"/>
      <c r="F10" s="42"/>
      <c r="G10" s="42"/>
      <c r="H10" s="42"/>
    </row>
    <row r="11" spans="2:8" ht="15.6" x14ac:dyDescent="0.3">
      <c r="B11" s="46" t="s">
        <v>129</v>
      </c>
      <c r="C11" s="42"/>
      <c r="D11" s="42"/>
      <c r="E11" s="42"/>
      <c r="F11" s="42"/>
      <c r="G11" s="42"/>
      <c r="H11" s="42"/>
    </row>
    <row r="12" spans="2:8" ht="15.6" x14ac:dyDescent="0.3">
      <c r="B12" s="47" t="s">
        <v>130</v>
      </c>
      <c r="C12" s="42">
        <v>32690547.440000001</v>
      </c>
      <c r="D12" s="42">
        <f>'EMI SCHEDULE KOTAK'!C75</f>
        <v>57315522.329999998</v>
      </c>
      <c r="E12" s="42">
        <f>'EMI SCHEDULE KOTAK'!D75</f>
        <v>35363372.450000003</v>
      </c>
      <c r="F12" s="42">
        <f>'EMI SCHEDULE KOTAK'!E75</f>
        <v>24494647</v>
      </c>
      <c r="G12" s="42">
        <f>'EMI SCHEDULE KOTAK'!F75</f>
        <v>13495417</v>
      </c>
      <c r="H12" s="42">
        <f>'EMI SCHEDULE KOTAK'!G75</f>
        <v>1101210</v>
      </c>
    </row>
    <row r="13" spans="2:8" ht="15.6" x14ac:dyDescent="0.3">
      <c r="B13" s="47" t="s">
        <v>131</v>
      </c>
      <c r="C13" s="42"/>
      <c r="D13" s="42"/>
      <c r="E13" s="42"/>
      <c r="F13" s="42"/>
      <c r="G13" s="42"/>
      <c r="H13" s="42"/>
    </row>
    <row r="14" spans="2:8" ht="15.6" x14ac:dyDescent="0.3">
      <c r="B14" s="47" t="s">
        <v>132</v>
      </c>
      <c r="C14" s="42">
        <f>Notes!C113</f>
        <v>111904674.7</v>
      </c>
      <c r="D14" s="42">
        <f>Notes!D113</f>
        <v>161904674.69999999</v>
      </c>
      <c r="E14" s="42">
        <f>Notes!E113</f>
        <v>211904674.69999999</v>
      </c>
      <c r="F14" s="42">
        <f>Notes!F113</f>
        <v>261904674.69999999</v>
      </c>
      <c r="G14" s="42">
        <f>Notes!G113</f>
        <v>311904674.69999999</v>
      </c>
      <c r="H14" s="42">
        <f>Notes!H113</f>
        <v>361904674.69999999</v>
      </c>
    </row>
    <row r="15" spans="2:8" ht="15.6" x14ac:dyDescent="0.3">
      <c r="B15" s="47" t="s">
        <v>133</v>
      </c>
      <c r="C15" s="42"/>
      <c r="D15" s="42"/>
      <c r="E15" s="42"/>
      <c r="F15" s="42"/>
      <c r="G15" s="42"/>
      <c r="H15" s="42"/>
    </row>
    <row r="16" spans="2:8" ht="15.6" x14ac:dyDescent="0.3">
      <c r="B16" s="46" t="s">
        <v>134</v>
      </c>
      <c r="C16" s="42"/>
      <c r="D16" s="42"/>
      <c r="E16" s="42"/>
      <c r="F16" s="42"/>
      <c r="G16" s="42"/>
      <c r="H16" s="42"/>
    </row>
    <row r="17" spans="2:8" ht="15.6" x14ac:dyDescent="0.3">
      <c r="B17" s="48" t="s">
        <v>135</v>
      </c>
      <c r="C17" s="42">
        <f>Notes!C133</f>
        <v>206745103.87</v>
      </c>
      <c r="D17" s="42">
        <f>Notes!D133-300000000</f>
        <v>25000000</v>
      </c>
      <c r="E17" s="42">
        <f>Notes!E133-250000000</f>
        <v>25000000</v>
      </c>
      <c r="F17" s="42">
        <f>Notes!F133-250000000</f>
        <v>25000000</v>
      </c>
      <c r="G17" s="42">
        <f>Notes!G133-250000000</f>
        <v>25000000</v>
      </c>
      <c r="H17" s="42">
        <f>Notes!H133-250000000</f>
        <v>25000000</v>
      </c>
    </row>
    <row r="18" spans="2:8" ht="15.6" x14ac:dyDescent="0.3">
      <c r="B18" s="49" t="s">
        <v>136</v>
      </c>
      <c r="C18" s="42"/>
      <c r="D18" s="42"/>
      <c r="E18" s="42"/>
      <c r="F18" s="42"/>
      <c r="G18" s="42"/>
      <c r="H18" s="42"/>
    </row>
    <row r="19" spans="2:8" ht="15.6" x14ac:dyDescent="0.3">
      <c r="B19" s="50" t="s">
        <v>137</v>
      </c>
      <c r="C19" s="42">
        <v>0</v>
      </c>
      <c r="D19" s="42">
        <v>0</v>
      </c>
      <c r="E19" s="42"/>
      <c r="F19" s="42"/>
      <c r="G19" s="42"/>
      <c r="H19" s="42"/>
    </row>
    <row r="20" spans="2:8" ht="31.2" x14ac:dyDescent="0.3">
      <c r="B20" s="51" t="s">
        <v>138</v>
      </c>
      <c r="C20" s="42">
        <v>222174630.70000005</v>
      </c>
      <c r="D20" s="42">
        <f>Notes!D24*0.1</f>
        <v>84569883.811656103</v>
      </c>
      <c r="E20" s="42">
        <f>Notes!E24*0.1</f>
        <v>138758200.44311476</v>
      </c>
      <c r="F20" s="42">
        <f>Notes!F24*0.1</f>
        <v>242220888.05098554</v>
      </c>
      <c r="G20" s="42">
        <f>Notes!G24*0.1</f>
        <v>383894983.54159927</v>
      </c>
      <c r="H20" s="42">
        <f>Notes!H24*0.1</f>
        <v>497825796.51274914</v>
      </c>
    </row>
    <row r="21" spans="2:8" ht="15.6" x14ac:dyDescent="0.3">
      <c r="B21" s="47" t="s">
        <v>139</v>
      </c>
      <c r="C21" s="42">
        <f>Notes!C157</f>
        <v>94131525.989999995</v>
      </c>
      <c r="D21" s="42">
        <f>Notes!D157</f>
        <v>83566995.639778718</v>
      </c>
      <c r="E21" s="42">
        <f>Notes!E157</f>
        <v>97215398.956953079</v>
      </c>
      <c r="F21" s="42">
        <f>Notes!F157</f>
        <v>111819249.56760147</v>
      </c>
      <c r="G21" s="42">
        <f>Notes!G157</f>
        <v>127898299.99197641</v>
      </c>
      <c r="H21" s="42">
        <f>Notes!H157</f>
        <v>144035020.7517471</v>
      </c>
    </row>
    <row r="22" spans="2:8" ht="15.6" x14ac:dyDescent="0.3">
      <c r="B22" s="47" t="s">
        <v>140</v>
      </c>
      <c r="C22" s="42">
        <f>Notes!C167</f>
        <v>53158257.733964987</v>
      </c>
      <c r="D22" s="42">
        <f>Notes!D167</f>
        <v>83603871.05266121</v>
      </c>
      <c r="E22" s="42">
        <f>Notes!E167</f>
        <v>125531641.97208957</v>
      </c>
      <c r="F22" s="42">
        <f>Notes!F167</f>
        <v>279569265.07169026</v>
      </c>
      <c r="G22" s="42">
        <f>Notes!G167</f>
        <v>694317525.71560681</v>
      </c>
      <c r="H22" s="42">
        <f>Notes!H167</f>
        <v>861692839.62139308</v>
      </c>
    </row>
    <row r="23" spans="2:8" ht="15.6" x14ac:dyDescent="0.3">
      <c r="B23" s="48"/>
      <c r="C23" s="42"/>
      <c r="D23" s="42"/>
      <c r="E23" s="42"/>
      <c r="F23" s="42"/>
      <c r="G23" s="42"/>
      <c r="H23" s="42"/>
    </row>
    <row r="24" spans="2:8" ht="16.2" thickBot="1" x14ac:dyDescent="0.35">
      <c r="B24" s="52" t="s">
        <v>141</v>
      </c>
      <c r="C24" s="43">
        <f>SUM(C7:C23)</f>
        <v>1762334896.9620667</v>
      </c>
      <c r="D24" s="43">
        <f>SUM(D7:D22)</f>
        <v>1986836143.2435861</v>
      </c>
      <c r="E24" s="43">
        <f t="shared" ref="E24:H24" si="1">SUM(E7:E22)</f>
        <v>2557035251.0244007</v>
      </c>
      <c r="F24" s="43">
        <f t="shared" si="1"/>
        <v>3831231488.8061199</v>
      </c>
      <c r="G24" s="43">
        <f t="shared" si="1"/>
        <v>6834271809.4965601</v>
      </c>
      <c r="H24" s="43">
        <f t="shared" si="1"/>
        <v>10137373564.384731</v>
      </c>
    </row>
    <row r="25" spans="2:8" ht="16.2" thickTop="1" x14ac:dyDescent="0.3">
      <c r="B25" s="46" t="s">
        <v>142</v>
      </c>
      <c r="C25" s="42"/>
      <c r="D25" s="42"/>
      <c r="E25" s="42"/>
      <c r="F25" s="42"/>
      <c r="G25" s="42"/>
      <c r="H25" s="42"/>
    </row>
    <row r="26" spans="2:8" ht="15.6" x14ac:dyDescent="0.3">
      <c r="B26" s="48"/>
      <c r="C26" s="42"/>
      <c r="D26" s="42"/>
      <c r="E26" s="42"/>
      <c r="F26" s="42"/>
      <c r="G26" s="42"/>
      <c r="H26" s="42"/>
    </row>
    <row r="27" spans="2:8" ht="15.6" x14ac:dyDescent="0.3">
      <c r="B27" s="46" t="s">
        <v>143</v>
      </c>
      <c r="C27" s="42"/>
      <c r="D27" s="42"/>
      <c r="E27" s="42"/>
      <c r="F27" s="42"/>
      <c r="G27" s="42"/>
      <c r="H27" s="42"/>
    </row>
    <row r="28" spans="2:8" ht="15.6" x14ac:dyDescent="0.3">
      <c r="B28" s="47" t="s">
        <v>144</v>
      </c>
      <c r="C28" s="42">
        <v>123326461.63999999</v>
      </c>
      <c r="D28" s="42">
        <f>184989692.46+150000000</f>
        <v>334989692.46000004</v>
      </c>
      <c r="E28" s="42">
        <f>277484538.69+150000000</f>
        <v>427484538.69</v>
      </c>
      <c r="F28" s="42">
        <f>416226808.035+150000000</f>
        <v>566226808.03500009</v>
      </c>
      <c r="G28" s="42">
        <f>624340212.0525+150000000</f>
        <v>774340212.05250001</v>
      </c>
      <c r="H28" s="42">
        <f>936510318.07875+150000000</f>
        <v>1086510318.0787501</v>
      </c>
    </row>
    <row r="29" spans="2:8" ht="15.6" x14ac:dyDescent="0.3">
      <c r="B29" s="53" t="s">
        <v>145</v>
      </c>
      <c r="C29" s="42">
        <v>45721640.920000002</v>
      </c>
      <c r="D29" s="42">
        <v>44403126.986557648</v>
      </c>
      <c r="E29" s="42">
        <v>60996575.541434243</v>
      </c>
      <c r="F29" s="42">
        <v>83790995.821268231</v>
      </c>
      <c r="G29" s="42">
        <v>115103690.95967618</v>
      </c>
      <c r="H29" s="42">
        <v>158117940.27130717</v>
      </c>
    </row>
    <row r="30" spans="2:8" ht="15.6" x14ac:dyDescent="0.3">
      <c r="B30" s="53" t="s">
        <v>146</v>
      </c>
      <c r="C30" s="42">
        <v>0</v>
      </c>
      <c r="D30" s="42">
        <v>0</v>
      </c>
      <c r="E30" s="42"/>
      <c r="F30" s="42"/>
      <c r="G30" s="42"/>
      <c r="H30" s="42"/>
    </row>
    <row r="31" spans="2:8" ht="15.6" x14ac:dyDescent="0.3">
      <c r="B31" s="53" t="s">
        <v>147</v>
      </c>
      <c r="C31" s="42">
        <v>0</v>
      </c>
      <c r="D31" s="42">
        <v>0</v>
      </c>
      <c r="E31" s="42"/>
      <c r="F31" s="42"/>
      <c r="G31" s="42"/>
      <c r="H31" s="42"/>
    </row>
    <row r="32" spans="2:8" ht="15.6" x14ac:dyDescent="0.3">
      <c r="B32" s="47" t="s">
        <v>148</v>
      </c>
      <c r="C32" s="42">
        <v>0</v>
      </c>
      <c r="D32" s="42">
        <v>0</v>
      </c>
      <c r="E32" s="42"/>
      <c r="F32" s="42"/>
      <c r="G32" s="42"/>
      <c r="H32" s="42"/>
    </row>
    <row r="33" spans="2:8" ht="15.6" x14ac:dyDescent="0.3">
      <c r="B33" s="47" t="s">
        <v>149</v>
      </c>
      <c r="C33" s="28">
        <v>6008732.5156445857</v>
      </c>
      <c r="D33" s="28">
        <f>D28*0.048722</f>
        <v>16321367.796036122</v>
      </c>
      <c r="E33" s="28">
        <f t="shared" ref="E33:H33" si="2">E28*0.048722</f>
        <v>20827901.694054179</v>
      </c>
      <c r="F33" s="28">
        <f t="shared" si="2"/>
        <v>27587702.541081276</v>
      </c>
      <c r="G33" s="28">
        <f t="shared" si="2"/>
        <v>37727403.811621904</v>
      </c>
      <c r="H33" s="28">
        <f t="shared" si="2"/>
        <v>52936955.717432864</v>
      </c>
    </row>
    <row r="34" spans="2:8" ht="15.6" x14ac:dyDescent="0.3">
      <c r="B34" s="47" t="s">
        <v>150</v>
      </c>
      <c r="C34" s="42">
        <v>0</v>
      </c>
      <c r="D34" s="42">
        <v>0</v>
      </c>
      <c r="E34" s="42"/>
      <c r="F34" s="42"/>
      <c r="G34" s="42"/>
      <c r="H34" s="42"/>
    </row>
    <row r="35" spans="2:8" ht="15.6" x14ac:dyDescent="0.3">
      <c r="B35" s="47" t="s">
        <v>151</v>
      </c>
      <c r="C35" s="42">
        <f>Notes!C193</f>
        <v>34042608.75</v>
      </c>
      <c r="D35" s="42">
        <f>Notes!D193</f>
        <v>62399356.549999997</v>
      </c>
      <c r="E35" s="42">
        <f>Notes!E193</f>
        <v>85445338.077500001</v>
      </c>
      <c r="F35" s="42">
        <f>Notes!F193</f>
        <v>108499868.681375</v>
      </c>
      <c r="G35" s="42">
        <f>Notes!G193</f>
        <v>131563375.81544375</v>
      </c>
      <c r="H35" s="42">
        <f>Notes!H193</f>
        <v>154636308.30621594</v>
      </c>
    </row>
    <row r="36" spans="2:8" ht="15.6" x14ac:dyDescent="0.3">
      <c r="B36" s="46" t="s">
        <v>152</v>
      </c>
      <c r="C36" s="42"/>
      <c r="D36" s="42"/>
      <c r="E36" s="42"/>
      <c r="F36" s="42"/>
      <c r="G36" s="42"/>
      <c r="H36" s="42"/>
    </row>
    <row r="37" spans="2:8" ht="15.6" x14ac:dyDescent="0.3">
      <c r="B37" s="47" t="s">
        <v>153</v>
      </c>
      <c r="C37" s="42">
        <v>0</v>
      </c>
      <c r="D37" s="42">
        <v>0</v>
      </c>
      <c r="E37" s="42"/>
      <c r="F37" s="42"/>
      <c r="G37" s="42"/>
      <c r="H37" s="42"/>
    </row>
    <row r="38" spans="2:8" ht="15.6" x14ac:dyDescent="0.3">
      <c r="B38" s="47" t="s">
        <v>154</v>
      </c>
      <c r="C38" s="42">
        <f>Notes!C207</f>
        <v>792536475.04999995</v>
      </c>
      <c r="D38" s="42">
        <f>Notes!D207</f>
        <v>890944168.36050606</v>
      </c>
      <c r="E38" s="42">
        <f>Notes!E207</f>
        <v>1243754416.858495</v>
      </c>
      <c r="F38" s="42">
        <f>Notes!F207</f>
        <v>1661185332.0257726</v>
      </c>
      <c r="G38" s="42">
        <f>Notes!G207</f>
        <v>2142299379.5704293</v>
      </c>
      <c r="H38" s="42">
        <f>Notes!H207</f>
        <v>2577176472.4681478</v>
      </c>
    </row>
    <row r="39" spans="2:8" ht="15.6" x14ac:dyDescent="0.3">
      <c r="B39" s="47" t="s">
        <v>155</v>
      </c>
      <c r="C39" s="42">
        <v>429134830.37999988</v>
      </c>
      <c r="D39" s="42">
        <f>(IS!D6*40%)/12*3</f>
        <v>236177174.33170176</v>
      </c>
      <c r="E39" s="42">
        <f>(IS!E6*40%)/12*3</f>
        <v>331138570</v>
      </c>
      <c r="F39" s="42">
        <f>(IS!F6*40%)/12*3</f>
        <v>541047309.52299988</v>
      </c>
      <c r="G39" s="42">
        <f>(IS!G6*40%)/12*3</f>
        <v>933198399.46527004</v>
      </c>
      <c r="H39" s="42">
        <f>(IS!H6*40%)/12*3</f>
        <v>1166497999.3315876</v>
      </c>
    </row>
    <row r="40" spans="2:8" ht="15.6" x14ac:dyDescent="0.3">
      <c r="B40" s="47" t="s">
        <v>156</v>
      </c>
      <c r="C40" s="42">
        <f>Notes!C217</f>
        <v>6136348.21</v>
      </c>
      <c r="D40" s="42">
        <f>Notes!D217</f>
        <v>232154052.057284</v>
      </c>
      <c r="E40" s="42">
        <f>Notes!E217</f>
        <v>178460359.88059199</v>
      </c>
      <c r="F40" s="42">
        <f>Notes!F217</f>
        <v>593861104.25985706</v>
      </c>
      <c r="G40" s="42">
        <f>Notes!G217</f>
        <v>2410135272.69486</v>
      </c>
      <c r="H40" s="42">
        <f>Notes!H217</f>
        <v>4609777703.4130497</v>
      </c>
    </row>
    <row r="41" spans="2:8" ht="15.6" x14ac:dyDescent="0.3">
      <c r="B41" s="47" t="s">
        <v>157</v>
      </c>
      <c r="C41" s="42">
        <f>Notes!C231</f>
        <v>96618755.040000021</v>
      </c>
      <c r="D41" s="42">
        <f>Notes!D231</f>
        <v>69384704.701499999</v>
      </c>
      <c r="E41" s="42">
        <f>Notes!E231</f>
        <v>108865050.282325</v>
      </c>
      <c r="F41" s="42">
        <f>Notes!F231</f>
        <v>148969867.91876623</v>
      </c>
      <c r="G41" s="42">
        <f>Notes!G231</f>
        <v>189841575.12676206</v>
      </c>
      <c r="H41" s="42">
        <f>Notes!H231</f>
        <v>231657366.79823843</v>
      </c>
    </row>
    <row r="42" spans="2:8" ht="15.6" x14ac:dyDescent="0.3">
      <c r="B42" s="47" t="s">
        <v>158</v>
      </c>
      <c r="C42" s="42">
        <f>Notes!C237</f>
        <v>228809044.45642233</v>
      </c>
      <c r="D42" s="42">
        <f>Notes!D237</f>
        <v>100062500</v>
      </c>
      <c r="E42" s="42">
        <f>Notes!E237</f>
        <v>100062500</v>
      </c>
      <c r="F42" s="42">
        <f>Notes!F237</f>
        <v>100062500</v>
      </c>
      <c r="G42" s="42">
        <f>Notes!G237</f>
        <v>100062500</v>
      </c>
      <c r="H42" s="42">
        <f>Notes!H237</f>
        <v>100062500</v>
      </c>
    </row>
    <row r="43" spans="2:8" ht="16.2" thickBot="1" x14ac:dyDescent="0.35">
      <c r="B43" s="54" t="s">
        <v>141</v>
      </c>
      <c r="C43" s="43">
        <f>SUM(C28:C42)</f>
        <v>1762334896.9620667</v>
      </c>
      <c r="D43" s="43">
        <f>SUM(D28:D42)</f>
        <v>1986836143.2435856</v>
      </c>
      <c r="E43" s="43">
        <f t="shared" ref="E43:H43" si="3">SUM(E28:E42)</f>
        <v>2557035251.0244002</v>
      </c>
      <c r="F43" s="43">
        <f t="shared" si="3"/>
        <v>3831231488.8061199</v>
      </c>
      <c r="G43" s="43">
        <f t="shared" si="3"/>
        <v>6834271809.496563</v>
      </c>
      <c r="H43" s="43">
        <f t="shared" si="3"/>
        <v>10137373564.384729</v>
      </c>
    </row>
    <row r="44" spans="2:8" ht="15" thickTop="1" x14ac:dyDescent="0.3">
      <c r="C44" s="9"/>
      <c r="D44" s="9">
        <f>D24-D43</f>
        <v>0</v>
      </c>
      <c r="E44" s="9">
        <f t="shared" ref="E44:H44" si="4">E24-E43</f>
        <v>0</v>
      </c>
      <c r="F44" s="9">
        <f t="shared" si="4"/>
        <v>0</v>
      </c>
      <c r="G44" s="9">
        <f t="shared" si="4"/>
        <v>0</v>
      </c>
      <c r="H44" s="9">
        <f t="shared" si="4"/>
        <v>0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A984-E241-47A2-841A-D9C4B35FC5CA}">
  <dimension ref="B1:G52"/>
  <sheetViews>
    <sheetView topLeftCell="A46" workbookViewId="0">
      <selection activeCell="C50" sqref="C50"/>
    </sheetView>
  </sheetViews>
  <sheetFormatPr defaultRowHeight="14.4" x14ac:dyDescent="0.3"/>
  <cols>
    <col min="1" max="1" width="1.109375" customWidth="1"/>
    <col min="2" max="2" width="43" customWidth="1"/>
    <col min="3" max="6" width="16.77734375" customWidth="1"/>
    <col min="7" max="7" width="18.44140625" bestFit="1" customWidth="1"/>
  </cols>
  <sheetData>
    <row r="1" spans="2:7" ht="20.399999999999999" x14ac:dyDescent="0.3">
      <c r="B1" s="261" t="str">
        <f>[1]BS!$A$1</f>
        <v>POPEES BABY CARE PRODUCTS PRIVATE LIMITED</v>
      </c>
      <c r="C1" s="262"/>
      <c r="D1" s="262"/>
      <c r="E1" s="262"/>
      <c r="F1" s="262"/>
      <c r="G1" s="263"/>
    </row>
    <row r="2" spans="2:7" ht="15.6" x14ac:dyDescent="0.3">
      <c r="B2" s="264" t="str">
        <f>[1]BS!$A$2</f>
        <v>CIN: U51900KL2016PTC045955</v>
      </c>
      <c r="C2" s="265"/>
      <c r="D2" s="265"/>
      <c r="E2" s="265"/>
      <c r="F2" s="265"/>
      <c r="G2" s="266"/>
    </row>
    <row r="3" spans="2:7" ht="15.6" x14ac:dyDescent="0.3">
      <c r="B3" s="267" t="str">
        <f>[1]BS!$A$3</f>
        <v>No.II/122 B, Pathiriyal, Malappuram, Kerala 676123</v>
      </c>
      <c r="C3" s="265"/>
      <c r="D3" s="265"/>
      <c r="E3" s="265"/>
      <c r="F3" s="265"/>
      <c r="G3" s="266"/>
    </row>
    <row r="4" spans="2:7" ht="15.6" x14ac:dyDescent="0.3">
      <c r="B4" s="267"/>
      <c r="C4" s="265"/>
      <c r="D4" s="265"/>
      <c r="E4" s="265"/>
      <c r="F4" s="265"/>
      <c r="G4" s="266"/>
    </row>
    <row r="5" spans="2:7" ht="17.399999999999999" x14ac:dyDescent="0.3">
      <c r="B5" s="268" t="s">
        <v>323</v>
      </c>
      <c r="C5" s="269"/>
      <c r="D5" s="269"/>
      <c r="E5" s="269"/>
      <c r="F5" s="269"/>
      <c r="G5" s="270"/>
    </row>
    <row r="6" spans="2:7" ht="41.4" x14ac:dyDescent="0.3">
      <c r="B6" s="222" t="s">
        <v>76</v>
      </c>
      <c r="C6" s="223" t="s">
        <v>324</v>
      </c>
      <c r="D6" s="223" t="s">
        <v>325</v>
      </c>
      <c r="E6" s="223" t="s">
        <v>326</v>
      </c>
      <c r="F6" s="223" t="s">
        <v>327</v>
      </c>
      <c r="G6" s="224" t="s">
        <v>328</v>
      </c>
    </row>
    <row r="7" spans="2:7" x14ac:dyDescent="0.3">
      <c r="B7" s="225" t="s">
        <v>329</v>
      </c>
      <c r="C7" s="226"/>
      <c r="D7" s="226"/>
      <c r="E7" s="226"/>
      <c r="F7" s="226"/>
      <c r="G7" s="227"/>
    </row>
    <row r="8" spans="2:7" x14ac:dyDescent="0.3">
      <c r="B8" s="228" t="s">
        <v>330</v>
      </c>
      <c r="C8" s="229">
        <f>IS!C20</f>
        <v>236258923.2620666</v>
      </c>
      <c r="D8" s="229">
        <f>IS!D20</f>
        <v>371572760.2340498</v>
      </c>
      <c r="E8" s="229">
        <f>IS!E20</f>
        <v>557918408.76484251</v>
      </c>
      <c r="F8" s="229">
        <f>IS!F20</f>
        <v>1242530066.9852901</v>
      </c>
      <c r="G8" s="229">
        <f>IS!G20</f>
        <v>3085855669.8471413</v>
      </c>
    </row>
    <row r="9" spans="2:7" x14ac:dyDescent="0.3">
      <c r="B9" s="231" t="s">
        <v>331</v>
      </c>
      <c r="C9" s="229"/>
      <c r="D9" s="229"/>
      <c r="E9" s="229"/>
      <c r="F9" s="229"/>
      <c r="G9" s="230"/>
    </row>
    <row r="10" spans="2:7" x14ac:dyDescent="0.3">
      <c r="B10" s="232" t="s">
        <v>332</v>
      </c>
      <c r="C10" s="229">
        <f>IS!C15</f>
        <v>13779669.429312013</v>
      </c>
      <c r="D10" s="229">
        <f>IS!D15</f>
        <v>20669504.14396802</v>
      </c>
      <c r="E10" s="229">
        <f>IS!E15</f>
        <v>31004256.215952031</v>
      </c>
      <c r="F10" s="229">
        <f>IS!F15</f>
        <v>46506384.323928043</v>
      </c>
      <c r="G10" s="229">
        <f>IS!G15</f>
        <v>69759576.485892057</v>
      </c>
    </row>
    <row r="11" spans="2:7" x14ac:dyDescent="0.3">
      <c r="B11" s="232" t="s">
        <v>333</v>
      </c>
      <c r="C11" s="233"/>
      <c r="D11" s="233"/>
      <c r="E11" s="233"/>
      <c r="F11" s="233"/>
      <c r="G11" s="234"/>
    </row>
    <row r="12" spans="2:7" x14ac:dyDescent="0.3">
      <c r="B12" s="232" t="s">
        <v>334</v>
      </c>
      <c r="C12" s="229"/>
      <c r="D12" s="229"/>
      <c r="E12" s="229"/>
      <c r="F12" s="229"/>
      <c r="G12" s="230"/>
    </row>
    <row r="13" spans="2:7" x14ac:dyDescent="0.3">
      <c r="B13" s="232" t="s">
        <v>335</v>
      </c>
      <c r="C13" s="229">
        <f>IS!C14</f>
        <v>49550008.100000001</v>
      </c>
      <c r="D13" s="229">
        <f>IS!D14</f>
        <v>39745847.49471578</v>
      </c>
      <c r="E13" s="229">
        <f>IS!E14</f>
        <v>38683493.31884712</v>
      </c>
      <c r="F13" s="229">
        <f>IS!F14</f>
        <v>36596331.976493143</v>
      </c>
      <c r="G13" s="229">
        <f>IS!G14</f>
        <v>35347439</v>
      </c>
    </row>
    <row r="14" spans="2:7" ht="15" thickBot="1" x14ac:dyDescent="0.35">
      <c r="B14" s="235" t="s">
        <v>336</v>
      </c>
      <c r="C14" s="236">
        <f t="shared" ref="C14:G14" si="0">SUM(C8:C13)</f>
        <v>299588600.79137862</v>
      </c>
      <c r="D14" s="236">
        <f t="shared" si="0"/>
        <v>431988111.87273359</v>
      </c>
      <c r="E14" s="236">
        <f t="shared" si="0"/>
        <v>627606158.29964161</v>
      </c>
      <c r="F14" s="236">
        <f t="shared" si="0"/>
        <v>1325632783.2857113</v>
      </c>
      <c r="G14" s="237">
        <f t="shared" si="0"/>
        <v>3190962685.3330336</v>
      </c>
    </row>
    <row r="15" spans="2:7" x14ac:dyDescent="0.3">
      <c r="B15" s="231" t="s">
        <v>337</v>
      </c>
      <c r="C15" s="229"/>
      <c r="D15" s="229"/>
      <c r="E15" s="229"/>
      <c r="F15" s="229"/>
      <c r="G15" s="230"/>
    </row>
    <row r="16" spans="2:7" x14ac:dyDescent="0.3">
      <c r="B16" s="232" t="s">
        <v>338</v>
      </c>
      <c r="C16" s="229">
        <f>[2]BS!$D$41-BS!C38</f>
        <v>-311898537.62</v>
      </c>
      <c r="D16" s="229">
        <f>BS!C38-BS!D38</f>
        <v>-98407693.310506105</v>
      </c>
      <c r="E16" s="229">
        <f>BS!D38-BS!E38</f>
        <v>-352810248.49798894</v>
      </c>
      <c r="F16" s="229">
        <f>BS!E38-BS!F38</f>
        <v>-417430915.16727757</v>
      </c>
      <c r="G16" s="229">
        <f>BS!F38-BS!G38</f>
        <v>-481114047.54465675</v>
      </c>
    </row>
    <row r="17" spans="2:7" x14ac:dyDescent="0.3">
      <c r="B17" s="232" t="s">
        <v>339</v>
      </c>
      <c r="C17" s="229"/>
      <c r="D17" s="229"/>
      <c r="E17" s="229"/>
      <c r="F17" s="229"/>
      <c r="G17" s="230"/>
    </row>
    <row r="18" spans="2:7" x14ac:dyDescent="0.3">
      <c r="B18" s="232" t="s">
        <v>340</v>
      </c>
      <c r="C18" s="229">
        <f>([2]BS!$D$38+4333903.89+[2]BS!$D$36)-BS!C35+BS!C33</f>
        <v>18571006.921289176</v>
      </c>
      <c r="D18" s="229">
        <f>(BS!C35+BS!C33)-(BS!D35+BS!D33)</f>
        <v>-38669383.080391534</v>
      </c>
      <c r="E18" s="229">
        <f>(BS!D35+BS!D33)-(BS!E35+BS!E33)</f>
        <v>-27552515.425518051</v>
      </c>
      <c r="F18" s="229">
        <f>(BS!E35+BS!E33)-(BS!F35+BS!F33)</f>
        <v>-29814331.450902104</v>
      </c>
      <c r="G18" s="229">
        <f>(BS!F35+BS!F33)-(BS!G35+BS!G33)</f>
        <v>-33203208.404609382</v>
      </c>
    </row>
    <row r="19" spans="2:7" x14ac:dyDescent="0.3">
      <c r="B19" s="232" t="s">
        <v>341</v>
      </c>
      <c r="C19" s="229">
        <f>+[2]BS!$D$45-BS!C42</f>
        <v>170014104.75357771</v>
      </c>
      <c r="D19" s="229">
        <f>BS!C42-BS!D42</f>
        <v>128746544.45642233</v>
      </c>
      <c r="E19" s="229">
        <f>BS!D42-BS!E42</f>
        <v>0</v>
      </c>
      <c r="F19" s="229">
        <f>BS!E42-BS!F42</f>
        <v>0</v>
      </c>
      <c r="G19" s="229">
        <f>BS!F42-BS!G42</f>
        <v>0</v>
      </c>
    </row>
    <row r="20" spans="2:7" x14ac:dyDescent="0.3">
      <c r="B20" s="232" t="s">
        <v>342</v>
      </c>
      <c r="C20" s="229">
        <f>BS!C14-[2]BS!$D$17</f>
        <v>-9568890</v>
      </c>
      <c r="D20" s="229">
        <f>BS!D14-BS!C14</f>
        <v>49999999.999999985</v>
      </c>
      <c r="E20" s="229">
        <f>BS!E14-BS!D14</f>
        <v>50000000</v>
      </c>
      <c r="F20" s="229">
        <f>BS!F14-BS!E14</f>
        <v>50000000</v>
      </c>
      <c r="G20" s="229">
        <f>BS!G14-BS!F14</f>
        <v>50000000</v>
      </c>
    </row>
    <row r="21" spans="2:7" x14ac:dyDescent="0.3">
      <c r="B21" s="232" t="s">
        <v>343</v>
      </c>
      <c r="C21" s="229">
        <f>BS!C21-[2]BS!$D$24</f>
        <v>-19744943.450000018</v>
      </c>
      <c r="D21" s="229">
        <f>BS!D21-BS!C21</f>
        <v>-10564530.350221276</v>
      </c>
      <c r="E21" s="229">
        <f>BS!E21-BS!D21</f>
        <v>13648403.31717436</v>
      </c>
      <c r="F21" s="229">
        <f>BS!F21-BS!E21</f>
        <v>14603850.610648394</v>
      </c>
      <c r="G21" s="229">
        <f>BS!G21-BS!F21</f>
        <v>16079050.424374938</v>
      </c>
    </row>
    <row r="22" spans="2:7" x14ac:dyDescent="0.3">
      <c r="B22" s="232" t="s">
        <v>344</v>
      </c>
      <c r="C22" s="229">
        <f>BS!C17-[2]BS!$D$20</f>
        <v>2610681.1999999881</v>
      </c>
      <c r="D22" s="229">
        <f>BS!D17-BS!C17</f>
        <v>-181745103.87</v>
      </c>
      <c r="E22" s="229">
        <f>BS!E17-BS!D17</f>
        <v>0</v>
      </c>
      <c r="F22" s="229">
        <f>BS!F17-BS!E17</f>
        <v>0</v>
      </c>
      <c r="G22" s="229">
        <f>BS!G17-BS!F17</f>
        <v>0</v>
      </c>
    </row>
    <row r="23" spans="2:7" x14ac:dyDescent="0.3">
      <c r="B23" s="232" t="s">
        <v>345</v>
      </c>
      <c r="C23" s="229">
        <f>[2]BS!$D$44-BS!C41</f>
        <v>-64153904.470000029</v>
      </c>
      <c r="D23" s="229">
        <f>BS!C41-BS!D41</f>
        <v>27234050.338500023</v>
      </c>
      <c r="E23" s="229">
        <f>BS!D41-BS!E41</f>
        <v>-39480345.580825001</v>
      </c>
      <c r="F23" s="229">
        <f>BS!E41-BS!F41</f>
        <v>-40104817.636441231</v>
      </c>
      <c r="G23" s="229">
        <f>BS!F41-BS!G41</f>
        <v>-40871707.207995832</v>
      </c>
    </row>
    <row r="24" spans="2:7" x14ac:dyDescent="0.3">
      <c r="B24" s="232" t="s">
        <v>346</v>
      </c>
      <c r="C24" s="229">
        <f>BS!C22-[2]BS!$D$25</f>
        <v>22351864.733964987</v>
      </c>
      <c r="D24" s="229">
        <f>BS!D22-BS!C22</f>
        <v>30445613.318696223</v>
      </c>
      <c r="E24" s="229">
        <f>BS!E22-BS!D22</f>
        <v>41927770.919428363</v>
      </c>
      <c r="F24" s="229">
        <f>BS!F22-BS!E22</f>
        <v>154037623.09960067</v>
      </c>
      <c r="G24" s="229">
        <f>BS!G22-BS!F22</f>
        <v>414748260.64391655</v>
      </c>
    </row>
    <row r="25" spans="2:7" x14ac:dyDescent="0.3">
      <c r="B25" s="232" t="s">
        <v>347</v>
      </c>
      <c r="C25" s="229">
        <f>BS!C20-[2]BS!$D$23</f>
        <v>-69383837.949999928</v>
      </c>
      <c r="D25" s="229">
        <f>BS!D20-BS!C20</f>
        <v>-137604746.88834393</v>
      </c>
      <c r="E25" s="229">
        <f>BS!E20-BS!D20</f>
        <v>54188316.631458655</v>
      </c>
      <c r="F25" s="229">
        <f>BS!F20-BS!E20</f>
        <v>103462687.60787079</v>
      </c>
      <c r="G25" s="229">
        <f>BS!G20-BS!F20</f>
        <v>141674095.49061373</v>
      </c>
    </row>
    <row r="26" spans="2:7" x14ac:dyDescent="0.3">
      <c r="B26" s="232" t="s">
        <v>348</v>
      </c>
      <c r="C26" s="229">
        <f>[2]BS!$D$42-BS!C39</f>
        <v>80420511.160000086</v>
      </c>
      <c r="D26" s="229">
        <f>BS!C39-BS!D39</f>
        <v>192957656.04829812</v>
      </c>
      <c r="E26" s="229">
        <f>BS!D39-BS!E39</f>
        <v>-94961395.668298244</v>
      </c>
      <c r="F26" s="229">
        <f>BS!E39-BS!F39</f>
        <v>-209908739.52299988</v>
      </c>
      <c r="G26" s="229">
        <f>BS!F39-BS!G39</f>
        <v>-392151089.94227016</v>
      </c>
    </row>
    <row r="27" spans="2:7" ht="15" thickBot="1" x14ac:dyDescent="0.35">
      <c r="B27" s="235" t="s">
        <v>349</v>
      </c>
      <c r="C27" s="236">
        <f t="shared" ref="C27:G27" si="1">C14+C16+C17+C18+C19+C20+C21+C22+C23+C24+C25+C26</f>
        <v>118806656.07021058</v>
      </c>
      <c r="D27" s="236">
        <f t="shared" si="1"/>
        <v>394380518.53518742</v>
      </c>
      <c r="E27" s="236">
        <f t="shared" si="1"/>
        <v>272566143.99507272</v>
      </c>
      <c r="F27" s="236">
        <f t="shared" si="1"/>
        <v>950478140.82621038</v>
      </c>
      <c r="G27" s="237">
        <f t="shared" si="1"/>
        <v>2866124038.792407</v>
      </c>
    </row>
    <row r="28" spans="2:7" x14ac:dyDescent="0.3">
      <c r="B28" s="232" t="s">
        <v>350</v>
      </c>
      <c r="C28" s="229">
        <f>IS!C32</f>
        <v>53158257.733964987</v>
      </c>
      <c r="D28" s="229">
        <f>IS!D32</f>
        <v>83603871.05266121</v>
      </c>
      <c r="E28" s="229">
        <f>IS!E32</f>
        <v>125531641.97208957</v>
      </c>
      <c r="F28" s="229">
        <f>IS!F32</f>
        <v>279569265.07169026</v>
      </c>
      <c r="G28" s="229">
        <f>IS!G32</f>
        <v>694317525.71560681</v>
      </c>
    </row>
    <row r="29" spans="2:7" x14ac:dyDescent="0.3">
      <c r="B29" s="238" t="s">
        <v>351</v>
      </c>
      <c r="C29" s="229">
        <f>C27-C28</f>
        <v>65648398.336245589</v>
      </c>
      <c r="D29" s="229">
        <f t="shared" ref="D29:G29" si="2">D27-D28</f>
        <v>310776647.48252618</v>
      </c>
      <c r="E29" s="229">
        <f t="shared" si="2"/>
        <v>147034502.02298313</v>
      </c>
      <c r="F29" s="229">
        <f t="shared" si="2"/>
        <v>670908875.75452018</v>
      </c>
      <c r="G29" s="229">
        <f t="shared" si="2"/>
        <v>2171806513.0768003</v>
      </c>
    </row>
    <row r="30" spans="2:7" ht="15" thickBot="1" x14ac:dyDescent="0.35">
      <c r="B30" s="239" t="s">
        <v>352</v>
      </c>
      <c r="C30" s="240">
        <f t="shared" ref="C30:G30" si="3">C29</f>
        <v>65648398.336245589</v>
      </c>
      <c r="D30" s="240">
        <f t="shared" si="3"/>
        <v>310776647.48252618</v>
      </c>
      <c r="E30" s="240">
        <f t="shared" si="3"/>
        <v>147034502.02298313</v>
      </c>
      <c r="F30" s="240">
        <f t="shared" si="3"/>
        <v>670908875.75452018</v>
      </c>
      <c r="G30" s="241">
        <f t="shared" si="3"/>
        <v>2171806513.0768003</v>
      </c>
    </row>
    <row r="31" spans="2:7" ht="15" thickTop="1" x14ac:dyDescent="0.3">
      <c r="B31" s="242" t="s">
        <v>353</v>
      </c>
      <c r="C31" s="229"/>
      <c r="D31" s="229"/>
      <c r="E31" s="229"/>
      <c r="F31" s="229"/>
      <c r="G31" s="230"/>
    </row>
    <row r="32" spans="2:7" x14ac:dyDescent="0.3">
      <c r="B32" s="243" t="s">
        <v>354</v>
      </c>
      <c r="C32" s="229"/>
      <c r="D32" s="229"/>
      <c r="E32" s="229"/>
      <c r="F32" s="229"/>
      <c r="G32" s="230"/>
    </row>
    <row r="33" spans="2:7" x14ac:dyDescent="0.3">
      <c r="B33" s="232" t="s">
        <v>355</v>
      </c>
      <c r="C33" s="229"/>
      <c r="D33" s="229"/>
      <c r="E33" s="229"/>
      <c r="F33" s="229"/>
      <c r="G33" s="230"/>
    </row>
    <row r="34" spans="2:7" x14ac:dyDescent="0.3">
      <c r="B34" s="232" t="s">
        <v>356</v>
      </c>
      <c r="C34" s="229">
        <f>BS!C29+BS!C28+IS!C15-[2]BS!$E$32</f>
        <v>32150213.352796048</v>
      </c>
      <c r="D34" s="229">
        <f>(BS!D28+BS!D29+IS!D15)-(BS!C28+BS!C29)</f>
        <v>231014221.03052574</v>
      </c>
      <c r="E34" s="229">
        <f>(BS!E28+BS!E29+IS!E15)-(BS!D28+BS!D29)</f>
        <v>140092551.00082856</v>
      </c>
      <c r="F34" s="229">
        <f>(BS!F28+BS!F29+IS!F15)-(BS!E28+BS!E29)</f>
        <v>208043073.94876206</v>
      </c>
      <c r="G34" s="229">
        <f>(BS!G28+BS!G29+IS!G15)-(BS!F28+BS!F29)</f>
        <v>309185675.64179993</v>
      </c>
    </row>
    <row r="35" spans="2:7" x14ac:dyDescent="0.3">
      <c r="B35" s="232" t="s">
        <v>357</v>
      </c>
      <c r="C35" s="244"/>
      <c r="D35" s="244"/>
      <c r="E35" s="244"/>
      <c r="F35" s="244"/>
      <c r="G35" s="245"/>
    </row>
    <row r="36" spans="2:7" ht="15" thickBot="1" x14ac:dyDescent="0.35">
      <c r="B36" s="239" t="s">
        <v>358</v>
      </c>
      <c r="C36" s="240">
        <f t="shared" ref="C36:G36" si="4">SUM(C33:C35)</f>
        <v>32150213.352796048</v>
      </c>
      <c r="D36" s="240">
        <f t="shared" si="4"/>
        <v>231014221.03052574</v>
      </c>
      <c r="E36" s="240">
        <f t="shared" si="4"/>
        <v>140092551.00082856</v>
      </c>
      <c r="F36" s="240">
        <f t="shared" si="4"/>
        <v>208043073.94876206</v>
      </c>
      <c r="G36" s="241">
        <f t="shared" si="4"/>
        <v>309185675.64179993</v>
      </c>
    </row>
    <row r="37" spans="2:7" ht="15" thickTop="1" x14ac:dyDescent="0.3">
      <c r="B37" s="231" t="s">
        <v>353</v>
      </c>
      <c r="C37" s="246"/>
      <c r="D37" s="246"/>
      <c r="E37" s="246"/>
      <c r="F37" s="246"/>
      <c r="G37" s="247"/>
    </row>
    <row r="38" spans="2:7" x14ac:dyDescent="0.3">
      <c r="B38" s="243" t="s">
        <v>359</v>
      </c>
      <c r="C38" s="229"/>
      <c r="D38" s="229"/>
      <c r="E38" s="229"/>
      <c r="F38" s="229"/>
      <c r="G38" s="230"/>
    </row>
    <row r="39" spans="2:7" x14ac:dyDescent="0.3">
      <c r="B39" s="232" t="s">
        <v>360</v>
      </c>
      <c r="C39" s="229">
        <f>Notes!C79+BS!D8-BS!C8</f>
        <v>54953891</v>
      </c>
      <c r="D39" s="229">
        <f>(BS!D8-BS!C8)+Notes!D79</f>
        <v>161376150</v>
      </c>
      <c r="E39" s="229">
        <v>0</v>
      </c>
      <c r="F39" s="229">
        <v>0</v>
      </c>
      <c r="G39" s="230">
        <v>0</v>
      </c>
    </row>
    <row r="40" spans="2:7" x14ac:dyDescent="0.3">
      <c r="B40" s="232" t="s">
        <v>361</v>
      </c>
      <c r="C40" s="229">
        <f>BS!C12-[2]BS!$D$15</f>
        <v>-58544081.370000005</v>
      </c>
      <c r="D40" s="229">
        <f>BS!D12-BS!C12</f>
        <v>24624974.889999997</v>
      </c>
      <c r="E40" s="229">
        <f>BS!E12-BS!D12</f>
        <v>-21952149.879999995</v>
      </c>
      <c r="F40" s="229">
        <f>BS!F12-BS!E12</f>
        <v>-10868725.450000003</v>
      </c>
      <c r="G40" s="229">
        <f>BS!G12-BS!F12</f>
        <v>-10999230</v>
      </c>
    </row>
    <row r="41" spans="2:7" x14ac:dyDescent="0.3">
      <c r="B41" s="232" t="s">
        <v>362</v>
      </c>
      <c r="C41" s="229"/>
      <c r="D41" s="229"/>
      <c r="E41" s="229"/>
      <c r="F41" s="229"/>
      <c r="G41" s="230"/>
    </row>
    <row r="42" spans="2:7" x14ac:dyDescent="0.3">
      <c r="B42" s="232" t="s">
        <v>363</v>
      </c>
      <c r="C42" s="229">
        <f t="shared" ref="C42:G42" si="5">-C13</f>
        <v>-49550008.100000001</v>
      </c>
      <c r="D42" s="229">
        <f t="shared" si="5"/>
        <v>-39745847.49471578</v>
      </c>
      <c r="E42" s="229">
        <f t="shared" si="5"/>
        <v>-38683493.31884712</v>
      </c>
      <c r="F42" s="229">
        <f t="shared" si="5"/>
        <v>-36596331.976493143</v>
      </c>
      <c r="G42" s="230">
        <f t="shared" si="5"/>
        <v>-35347439</v>
      </c>
    </row>
    <row r="43" spans="2:7" ht="15" thickBot="1" x14ac:dyDescent="0.35">
      <c r="B43" s="239" t="s">
        <v>364</v>
      </c>
      <c r="C43" s="240">
        <f t="shared" ref="C43:G43" si="6">SUM(C39:C42)</f>
        <v>-53140198.470000006</v>
      </c>
      <c r="D43" s="240">
        <f>SUM(D39:D42)</f>
        <v>146255277.39528421</v>
      </c>
      <c r="E43" s="240">
        <f t="shared" si="6"/>
        <v>-60635643.198847115</v>
      </c>
      <c r="F43" s="240">
        <f t="shared" si="6"/>
        <v>-47465057.426493146</v>
      </c>
      <c r="G43" s="241">
        <f t="shared" si="6"/>
        <v>-46346669</v>
      </c>
    </row>
    <row r="44" spans="2:7" ht="15" thickTop="1" x14ac:dyDescent="0.3">
      <c r="B44" s="228" t="s">
        <v>353</v>
      </c>
      <c r="C44" s="229"/>
      <c r="D44" s="229"/>
      <c r="E44" s="229"/>
      <c r="F44" s="229"/>
      <c r="G44" s="230"/>
    </row>
    <row r="45" spans="2:7" x14ac:dyDescent="0.3">
      <c r="B45" s="231" t="s">
        <v>365</v>
      </c>
      <c r="C45" s="229">
        <f>C30-C36+C43</f>
        <v>-19642013.486550465</v>
      </c>
      <c r="D45" s="229">
        <f>D30-D36+D43</f>
        <v>226017703.84728464</v>
      </c>
      <c r="E45" s="229">
        <f t="shared" ref="E45:G45" si="7">E30-E36+E43</f>
        <v>-53693692.176692545</v>
      </c>
      <c r="F45" s="229">
        <f t="shared" si="7"/>
        <v>415400744.37926495</v>
      </c>
      <c r="G45" s="229">
        <f t="shared" si="7"/>
        <v>1816274168.4350004</v>
      </c>
    </row>
    <row r="46" spans="2:7" x14ac:dyDescent="0.3">
      <c r="B46" s="248" t="s">
        <v>366</v>
      </c>
      <c r="C46" s="249">
        <f>[2]BS!$D$43</f>
        <v>25778361.699999999</v>
      </c>
      <c r="D46" s="249">
        <f t="shared" ref="D46:G46" si="8">C47</f>
        <v>6136348.213449534</v>
      </c>
      <c r="E46" s="249">
        <f t="shared" si="8"/>
        <v>232154052.06073418</v>
      </c>
      <c r="F46" s="249">
        <f t="shared" si="8"/>
        <v>178460359.88404164</v>
      </c>
      <c r="G46" s="250">
        <f t="shared" si="8"/>
        <v>593861104.26330662</v>
      </c>
    </row>
    <row r="47" spans="2:7" ht="28.2" thickBot="1" x14ac:dyDescent="0.35">
      <c r="B47" s="251" t="s">
        <v>367</v>
      </c>
      <c r="C47" s="252">
        <f t="shared" ref="C47:G47" si="9">SUM(C45:C46)</f>
        <v>6136348.213449534</v>
      </c>
      <c r="D47" s="252">
        <f t="shared" si="9"/>
        <v>232154052.06073418</v>
      </c>
      <c r="E47" s="252">
        <f t="shared" si="9"/>
        <v>178460359.88404164</v>
      </c>
      <c r="F47" s="252">
        <f t="shared" si="9"/>
        <v>593861104.26330662</v>
      </c>
      <c r="G47" s="253">
        <f t="shared" si="9"/>
        <v>2410135272.698307</v>
      </c>
    </row>
    <row r="48" spans="2:7" ht="15.6" thickTop="1" thickBot="1" x14ac:dyDescent="0.35">
      <c r="B48" s="254"/>
      <c r="C48" s="255"/>
      <c r="D48" s="255"/>
      <c r="E48" s="255"/>
      <c r="F48" s="255"/>
      <c r="G48" s="256"/>
    </row>
    <row r="49" spans="3:7" x14ac:dyDescent="0.3">
      <c r="C49" s="257"/>
      <c r="D49" s="257"/>
      <c r="E49" s="257"/>
      <c r="F49" s="257"/>
      <c r="G49" s="257"/>
    </row>
    <row r="50" spans="3:7" ht="15.6" x14ac:dyDescent="0.3">
      <c r="C50" s="258"/>
      <c r="D50" s="258"/>
      <c r="E50" s="258"/>
      <c r="F50" s="258"/>
      <c r="G50" s="258"/>
    </row>
    <row r="51" spans="3:7" x14ac:dyDescent="0.3">
      <c r="C51" s="13"/>
      <c r="D51" s="13"/>
      <c r="E51" s="13"/>
      <c r="F51" s="13"/>
      <c r="G51" s="13"/>
    </row>
    <row r="52" spans="3:7" x14ac:dyDescent="0.3">
      <c r="C52" s="13"/>
      <c r="D52" s="13"/>
    </row>
  </sheetData>
  <mergeCells count="5">
    <mergeCell ref="B1:G1"/>
    <mergeCell ref="B2:G2"/>
    <mergeCell ref="B3:G3"/>
    <mergeCell ref="B4:G4"/>
    <mergeCell ref="B5:G5"/>
  </mergeCells>
  <hyperlinks>
    <hyperlink ref="B32" location="'Finance Cost'!A1" display="Finance costs" xr:uid="{B1DAE0A1-2F01-46A3-8C0C-CA54365AAA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C2FA-2631-4D2E-82C4-022B0B55C931}">
  <dimension ref="B2:I238"/>
  <sheetViews>
    <sheetView topLeftCell="A65" workbookViewId="0">
      <selection activeCell="D79" sqref="D79"/>
    </sheetView>
  </sheetViews>
  <sheetFormatPr defaultRowHeight="14.4" x14ac:dyDescent="0.3"/>
  <cols>
    <col min="1" max="1" width="2" customWidth="1"/>
    <col min="2" max="2" width="46.44140625" customWidth="1"/>
    <col min="3" max="8" width="16.77734375" customWidth="1"/>
    <col min="9" max="9" width="11.33203125" bestFit="1" customWidth="1"/>
    <col min="10" max="10" width="11" bestFit="1" customWidth="1"/>
    <col min="11" max="11" width="19" customWidth="1"/>
  </cols>
  <sheetData>
    <row r="2" spans="2:8" x14ac:dyDescent="0.3">
      <c r="B2" s="260" t="s">
        <v>71</v>
      </c>
      <c r="C2" s="260"/>
      <c r="D2" s="260"/>
      <c r="E2" s="260"/>
      <c r="F2" s="260"/>
      <c r="G2" s="260"/>
      <c r="H2" s="260"/>
    </row>
    <row r="3" spans="2:8" x14ac:dyDescent="0.3">
      <c r="B3" s="10" t="s">
        <v>77</v>
      </c>
      <c r="C3" s="10"/>
      <c r="D3" s="10"/>
      <c r="E3" s="10"/>
      <c r="F3" s="10"/>
      <c r="G3" s="10"/>
      <c r="H3" s="10"/>
    </row>
    <row r="4" spans="2:8" x14ac:dyDescent="0.3">
      <c r="B4" s="10"/>
      <c r="C4" s="11"/>
      <c r="D4" s="11"/>
      <c r="E4" s="11"/>
      <c r="F4" s="11"/>
      <c r="G4" s="11"/>
      <c r="H4" s="11"/>
    </row>
    <row r="5" spans="2:8" ht="15.6" x14ac:dyDescent="0.3">
      <c r="B5" s="57" t="s">
        <v>201</v>
      </c>
      <c r="C5" s="58"/>
      <c r="D5" s="58"/>
      <c r="E5" s="59"/>
    </row>
    <row r="6" spans="2:8" ht="15.6" x14ac:dyDescent="0.3">
      <c r="B6" s="60" t="s">
        <v>76</v>
      </c>
      <c r="C6" s="39">
        <v>46112</v>
      </c>
      <c r="D6" s="39">
        <v>46477</v>
      </c>
      <c r="E6" s="39">
        <v>46843</v>
      </c>
      <c r="F6" s="39">
        <v>47208</v>
      </c>
      <c r="G6" s="39">
        <v>47573</v>
      </c>
      <c r="H6" s="39">
        <v>47938</v>
      </c>
    </row>
    <row r="7" spans="2:8" ht="15.6" x14ac:dyDescent="0.3">
      <c r="B7" s="61" t="s">
        <v>159</v>
      </c>
      <c r="C7" s="62">
        <v>1619506564.3700004</v>
      </c>
      <c r="D7" s="62">
        <v>2361259512.3570175</v>
      </c>
      <c r="E7" s="62">
        <v>3310766943.2399993</v>
      </c>
      <c r="F7" s="62">
        <v>5409699649.2799988</v>
      </c>
      <c r="G7" s="62">
        <v>9331017187.2152004</v>
      </c>
      <c r="H7" s="62">
        <v>11663771484.019001</v>
      </c>
    </row>
    <row r="8" spans="2:8" ht="15.6" x14ac:dyDescent="0.3">
      <c r="B8" s="61" t="s">
        <v>160</v>
      </c>
      <c r="C8" s="62">
        <v>524824.19999999995</v>
      </c>
      <c r="D8" s="62">
        <v>512230.96</v>
      </c>
      <c r="E8" s="62">
        <v>618756.76</v>
      </c>
      <c r="F8" s="62">
        <v>773445.95</v>
      </c>
      <c r="G8" s="62">
        <v>966807.4375</v>
      </c>
      <c r="H8" s="62">
        <v>1208509.296875</v>
      </c>
    </row>
    <row r="9" spans="2:8" ht="16.2" thickBot="1" x14ac:dyDescent="0.35">
      <c r="B9" s="63" t="s">
        <v>161</v>
      </c>
      <c r="C9" s="64">
        <f>SUM(C7:C8)</f>
        <v>1620031388.5700004</v>
      </c>
      <c r="D9" s="64">
        <f>SUM(D7:D8)</f>
        <v>2361771743.3170176</v>
      </c>
      <c r="E9" s="64">
        <f>SUM(E7:E8)</f>
        <v>3311385699.9999995</v>
      </c>
      <c r="F9" s="64">
        <f t="shared" ref="F9:H9" si="0">SUM(F7:F8)</f>
        <v>5410473095.2299986</v>
      </c>
      <c r="G9" s="64">
        <f t="shared" si="0"/>
        <v>9331983994.6527004</v>
      </c>
      <c r="H9" s="64">
        <f t="shared" si="0"/>
        <v>11664979993.315876</v>
      </c>
    </row>
    <row r="10" spans="2:8" ht="16.2" thickTop="1" x14ac:dyDescent="0.3">
      <c r="B10" s="65"/>
      <c r="C10" s="58"/>
      <c r="D10" s="58"/>
      <c r="E10" s="66"/>
    </row>
    <row r="11" spans="2:8" ht="15.6" x14ac:dyDescent="0.3">
      <c r="B11" s="67" t="s">
        <v>202</v>
      </c>
      <c r="C11" s="68"/>
      <c r="D11" s="68"/>
      <c r="E11" s="69"/>
    </row>
    <row r="12" spans="2:8" ht="15.6" x14ac:dyDescent="0.3">
      <c r="B12" s="60" t="s">
        <v>76</v>
      </c>
      <c r="C12" s="39">
        <v>46112</v>
      </c>
      <c r="D12" s="39">
        <v>46477</v>
      </c>
      <c r="E12" s="39">
        <v>46843</v>
      </c>
      <c r="F12" s="39">
        <v>47208</v>
      </c>
      <c r="G12" s="39">
        <v>47573</v>
      </c>
      <c r="H12" s="39">
        <v>47938</v>
      </c>
    </row>
    <row r="13" spans="2:8" ht="15.6" x14ac:dyDescent="0.3">
      <c r="B13" s="70" t="s">
        <v>162</v>
      </c>
      <c r="C13" s="71">
        <v>1718</v>
      </c>
      <c r="D13" s="71">
        <v>2500</v>
      </c>
      <c r="E13" s="71">
        <v>3000</v>
      </c>
      <c r="F13" s="71">
        <v>3500</v>
      </c>
      <c r="G13" s="71">
        <v>4000</v>
      </c>
      <c r="H13" s="71">
        <v>4500</v>
      </c>
    </row>
    <row r="14" spans="2:8" ht="15.6" x14ac:dyDescent="0.3">
      <c r="B14" s="70" t="s">
        <v>163</v>
      </c>
      <c r="C14" s="71">
        <v>1000000</v>
      </c>
      <c r="D14" s="71">
        <v>5000000</v>
      </c>
      <c r="E14" s="71">
        <v>6000000</v>
      </c>
      <c r="F14" s="71">
        <v>8000000</v>
      </c>
      <c r="G14" s="71">
        <v>9000000</v>
      </c>
      <c r="H14" s="71">
        <v>10000000</v>
      </c>
    </row>
    <row r="15" spans="2:8" ht="15.6" x14ac:dyDescent="0.3">
      <c r="B15" s="70" t="s">
        <v>164</v>
      </c>
      <c r="C15" s="71">
        <v>117510.39</v>
      </c>
      <c r="D15" s="71">
        <v>150000</v>
      </c>
      <c r="E15" s="71">
        <v>175000</v>
      </c>
      <c r="F15" s="71">
        <v>200000</v>
      </c>
      <c r="G15" s="71">
        <v>225000</v>
      </c>
      <c r="H15" s="71">
        <v>250000</v>
      </c>
    </row>
    <row r="16" spans="2:8" ht="15.6" x14ac:dyDescent="0.3">
      <c r="B16" s="70" t="s">
        <v>165</v>
      </c>
      <c r="C16" s="71">
        <v>915938.64</v>
      </c>
      <c r="D16" s="71">
        <f>C16*107%</f>
        <v>980054.34480000008</v>
      </c>
      <c r="E16" s="71">
        <f t="shared" ref="E16:H16" si="1">D16*107%</f>
        <v>1048658.1489360002</v>
      </c>
      <c r="F16" s="71">
        <f t="shared" si="1"/>
        <v>1122064.2193615204</v>
      </c>
      <c r="G16" s="71">
        <f t="shared" si="1"/>
        <v>1200608.7147168268</v>
      </c>
      <c r="H16" s="71">
        <f t="shared" si="1"/>
        <v>1284651.3247470048</v>
      </c>
    </row>
    <row r="17" spans="2:8" ht="15.6" x14ac:dyDescent="0.3">
      <c r="B17" s="70" t="s">
        <v>166</v>
      </c>
      <c r="C17" s="71">
        <v>1246578</v>
      </c>
      <c r="D17" s="71">
        <v>1500000</v>
      </c>
      <c r="E17" s="71">
        <v>1500000</v>
      </c>
      <c r="F17" s="71">
        <v>1500000</v>
      </c>
      <c r="G17" s="71">
        <v>1500000</v>
      </c>
      <c r="H17" s="71">
        <v>1500000</v>
      </c>
    </row>
    <row r="18" spans="2:8" ht="15.6" x14ac:dyDescent="0.3">
      <c r="B18" s="70" t="s">
        <v>167</v>
      </c>
      <c r="C18" s="97">
        <v>126745</v>
      </c>
      <c r="D18" s="97">
        <v>175000</v>
      </c>
      <c r="E18" s="97">
        <v>250000</v>
      </c>
      <c r="F18" s="97">
        <v>300000</v>
      </c>
      <c r="G18" s="97">
        <v>350000</v>
      </c>
      <c r="H18" s="97">
        <v>400000</v>
      </c>
    </row>
    <row r="19" spans="2:8" ht="15.6" x14ac:dyDescent="0.3">
      <c r="B19" s="70" t="s">
        <v>168</v>
      </c>
      <c r="C19" s="71">
        <v>603250</v>
      </c>
      <c r="D19" s="71">
        <v>180000</v>
      </c>
      <c r="E19" s="71">
        <v>180000</v>
      </c>
      <c r="F19" s="71">
        <v>180000</v>
      </c>
      <c r="G19" s="71">
        <v>180000</v>
      </c>
      <c r="H19" s="71">
        <v>180000</v>
      </c>
    </row>
    <row r="20" spans="2:8" ht="16.2" thickBot="1" x14ac:dyDescent="0.35">
      <c r="B20" s="72" t="s">
        <v>161</v>
      </c>
      <c r="C20" s="43">
        <f t="shared" ref="C20:H20" si="2">SUM(C13:C19)</f>
        <v>4011740.03</v>
      </c>
      <c r="D20" s="43">
        <f t="shared" si="2"/>
        <v>7987554.3448000001</v>
      </c>
      <c r="E20" s="43">
        <f t="shared" si="2"/>
        <v>9156658.1489359997</v>
      </c>
      <c r="F20" s="43">
        <f t="shared" si="2"/>
        <v>11305564.219361521</v>
      </c>
      <c r="G20" s="43">
        <f t="shared" si="2"/>
        <v>12459608.714716827</v>
      </c>
      <c r="H20" s="43">
        <f t="shared" si="2"/>
        <v>13619151.324747005</v>
      </c>
    </row>
    <row r="21" spans="2:8" ht="16.2" thickTop="1" x14ac:dyDescent="0.3">
      <c r="B21" s="65"/>
      <c r="C21" s="58"/>
      <c r="D21" s="58"/>
      <c r="E21" s="66"/>
    </row>
    <row r="22" spans="2:8" ht="15.6" x14ac:dyDescent="0.3">
      <c r="B22" s="67" t="s">
        <v>203</v>
      </c>
      <c r="C22" s="73"/>
      <c r="D22" s="73"/>
      <c r="E22" s="69"/>
    </row>
    <row r="23" spans="2:8" ht="15.6" x14ac:dyDescent="0.3">
      <c r="B23" s="60" t="s">
        <v>76</v>
      </c>
      <c r="C23" s="39">
        <v>46112</v>
      </c>
      <c r="D23" s="39">
        <v>46477</v>
      </c>
      <c r="E23" s="39">
        <v>46843</v>
      </c>
      <c r="F23" s="39">
        <v>47208</v>
      </c>
      <c r="G23" s="39">
        <v>47573</v>
      </c>
      <c r="H23" s="39">
        <v>47938</v>
      </c>
    </row>
    <row r="24" spans="2:8" ht="15.6" x14ac:dyDescent="0.3">
      <c r="B24" s="78" t="s">
        <v>314</v>
      </c>
      <c r="C24" s="76">
        <v>923321753.57862198</v>
      </c>
      <c r="D24" s="76">
        <v>845698838.11656094</v>
      </c>
      <c r="E24" s="77">
        <f>E7*56.27%-251317138.77-224069415.76</f>
        <v>1387582004.4311476</v>
      </c>
      <c r="F24" s="77">
        <f>F7*56.27%-346376107.37-275453004.77</f>
        <v>2422208880.5098553</v>
      </c>
      <c r="G24" s="77">
        <f>G7*56.27%-1062368954-349244581.83</f>
        <v>3838949835.4159927</v>
      </c>
      <c r="H24" s="77">
        <f>H7*56.27%-1170483963-414462285.93</f>
        <v>4978257965.127491</v>
      </c>
    </row>
    <row r="25" spans="2:8" ht="15.6" x14ac:dyDescent="0.3">
      <c r="B25" s="78" t="s">
        <v>315</v>
      </c>
      <c r="C25" s="76">
        <v>13678246</v>
      </c>
      <c r="D25" s="76">
        <v>4900000</v>
      </c>
      <c r="E25" s="77">
        <v>5000000</v>
      </c>
      <c r="F25" s="77">
        <v>7500000</v>
      </c>
      <c r="G25" s="77">
        <v>10000000</v>
      </c>
      <c r="H25" s="77">
        <v>15000000</v>
      </c>
    </row>
    <row r="26" spans="2:8" ht="15.6" x14ac:dyDescent="0.3">
      <c r="B26" s="78" t="s">
        <v>316</v>
      </c>
      <c r="C26" s="76">
        <v>100578897.05</v>
      </c>
      <c r="D26" s="76">
        <v>140312326.21090981</v>
      </c>
      <c r="E26" s="77">
        <f>D26*115%</f>
        <v>161359175.14254627</v>
      </c>
      <c r="F26" s="77">
        <f t="shared" ref="F26:H26" si="3">E26*115%</f>
        <v>185563051.41392818</v>
      </c>
      <c r="G26" s="77">
        <f t="shared" si="3"/>
        <v>213397509.12601739</v>
      </c>
      <c r="H26" s="77">
        <f t="shared" si="3"/>
        <v>245407135.49491999</v>
      </c>
    </row>
    <row r="27" spans="2:8" ht="15.6" x14ac:dyDescent="0.3">
      <c r="B27" s="78" t="s">
        <v>317</v>
      </c>
      <c r="C27" s="76">
        <v>15736427</v>
      </c>
      <c r="D27" s="76">
        <v>10265975.768105796</v>
      </c>
      <c r="E27" s="77">
        <f>E7*0.01</f>
        <v>33107669.432399992</v>
      </c>
      <c r="F27" s="77">
        <f t="shared" ref="F27:H27" si="4">F7*0.01</f>
        <v>54096996.49279999</v>
      </c>
      <c r="G27" s="77">
        <f t="shared" si="4"/>
        <v>93310171.872152001</v>
      </c>
      <c r="H27" s="77">
        <f t="shared" si="4"/>
        <v>116637714.84019001</v>
      </c>
    </row>
    <row r="28" spans="2:8" ht="15.6" x14ac:dyDescent="0.3">
      <c r="B28" s="78" t="s">
        <v>318</v>
      </c>
      <c r="C28" s="76">
        <v>25663863.77</v>
      </c>
      <c r="D28" s="76">
        <v>21393540.160083082</v>
      </c>
      <c r="E28" s="77">
        <f>D28*115%</f>
        <v>24602571.184095543</v>
      </c>
      <c r="F28" s="77">
        <f t="shared" ref="F28:H28" si="5">E28*115%</f>
        <v>28292956.86170987</v>
      </c>
      <c r="G28" s="77">
        <f t="shared" si="5"/>
        <v>32536900.390966348</v>
      </c>
      <c r="H28" s="77">
        <f t="shared" si="5"/>
        <v>37417435.449611299</v>
      </c>
    </row>
    <row r="29" spans="2:8" ht="16.2" thickBot="1" x14ac:dyDescent="0.35">
      <c r="B29" s="79" t="s">
        <v>203</v>
      </c>
      <c r="C29" s="80">
        <f t="shared" ref="C29:H29" si="6">SUM(C24:C28)</f>
        <v>1078979187.398622</v>
      </c>
      <c r="D29" s="80">
        <f t="shared" si="6"/>
        <v>1022570680.2556596</v>
      </c>
      <c r="E29" s="80">
        <f t="shared" si="6"/>
        <v>1611651420.1901894</v>
      </c>
      <c r="F29" s="80">
        <f t="shared" si="6"/>
        <v>2697661885.2782931</v>
      </c>
      <c r="G29" s="80">
        <f t="shared" si="6"/>
        <v>4188194416.8051286</v>
      </c>
      <c r="H29" s="80">
        <f t="shared" si="6"/>
        <v>5392720250.9122124</v>
      </c>
    </row>
    <row r="30" spans="2:8" ht="16.2" thickTop="1" x14ac:dyDescent="0.3">
      <c r="B30" s="81"/>
      <c r="C30" s="218"/>
      <c r="D30" s="218"/>
      <c r="E30" s="218"/>
      <c r="F30" s="218"/>
      <c r="G30" s="218"/>
      <c r="H30" s="218"/>
    </row>
    <row r="31" spans="2:8" ht="15.6" x14ac:dyDescent="0.3">
      <c r="B31" s="65"/>
      <c r="C31" s="58"/>
      <c r="D31" s="58"/>
      <c r="E31" s="84"/>
      <c r="F31" s="84"/>
      <c r="G31" s="84"/>
      <c r="H31" s="84"/>
    </row>
    <row r="32" spans="2:8" ht="15.6" x14ac:dyDescent="0.3">
      <c r="B32" s="67" t="s">
        <v>204</v>
      </c>
      <c r="C32" s="73"/>
      <c r="D32" s="73"/>
      <c r="E32" s="85"/>
    </row>
    <row r="33" spans="2:8" ht="15.6" x14ac:dyDescent="0.3">
      <c r="B33" s="60" t="s">
        <v>76</v>
      </c>
      <c r="C33" s="39">
        <v>46112</v>
      </c>
      <c r="D33" s="39">
        <v>46477</v>
      </c>
      <c r="E33" s="39">
        <v>46843</v>
      </c>
      <c r="F33" s="39">
        <v>47208</v>
      </c>
      <c r="G33" s="39">
        <v>47573</v>
      </c>
      <c r="H33" s="39">
        <v>47938</v>
      </c>
    </row>
    <row r="34" spans="2:8" ht="15.6" x14ac:dyDescent="0.3">
      <c r="B34" s="86" t="s">
        <v>169</v>
      </c>
      <c r="C34" s="75">
        <v>683806</v>
      </c>
      <c r="D34" s="75">
        <f>1500000-123624</f>
        <v>1376376</v>
      </c>
      <c r="E34" s="87">
        <f>D34*105%</f>
        <v>1445194.8</v>
      </c>
      <c r="F34" s="87">
        <f>E34*105%</f>
        <v>1517454.54</v>
      </c>
      <c r="G34" s="87">
        <f>F34*105%</f>
        <v>1593327.267</v>
      </c>
      <c r="H34" s="87">
        <f>G34*105%</f>
        <v>1672993.63035</v>
      </c>
    </row>
    <row r="35" spans="2:8" ht="15.6" x14ac:dyDescent="0.3">
      <c r="B35" s="74" t="s">
        <v>170</v>
      </c>
      <c r="C35" s="76">
        <v>559818.87</v>
      </c>
      <c r="D35" s="76">
        <v>753264</v>
      </c>
      <c r="E35" s="87">
        <f>D35*105%</f>
        <v>790927.20000000007</v>
      </c>
      <c r="F35" s="87">
        <f t="shared" ref="F35:H37" si="7">E35*105%</f>
        <v>830473.56</v>
      </c>
      <c r="G35" s="87">
        <f t="shared" si="7"/>
        <v>871997.23800000013</v>
      </c>
      <c r="H35" s="87">
        <f t="shared" si="7"/>
        <v>915597.09990000015</v>
      </c>
    </row>
    <row r="36" spans="2:8" ht="15.6" x14ac:dyDescent="0.3">
      <c r="B36" s="74" t="s">
        <v>171</v>
      </c>
      <c r="C36" s="76">
        <f>81236967.23-1243625</f>
        <v>79993342.230000004</v>
      </c>
      <c r="D36" s="76">
        <v>176921704.42643476</v>
      </c>
      <c r="E36" s="77">
        <v>192971304.42643476</v>
      </c>
      <c r="F36" s="87">
        <v>202619869.64775652</v>
      </c>
      <c r="G36" s="87">
        <v>212750863.13014436</v>
      </c>
      <c r="H36" s="87">
        <v>223388406.28665158</v>
      </c>
    </row>
    <row r="37" spans="2:8" ht="15.6" x14ac:dyDescent="0.3">
      <c r="B37" s="74" t="s">
        <v>172</v>
      </c>
      <c r="C37" s="76">
        <v>15015174.74</v>
      </c>
      <c r="D37" s="76">
        <v>16878360</v>
      </c>
      <c r="E37" s="77">
        <f>D37*105%</f>
        <v>17722278</v>
      </c>
      <c r="F37" s="87">
        <f t="shared" si="7"/>
        <v>18608391.900000002</v>
      </c>
      <c r="G37" s="87">
        <f t="shared" ref="G37" si="8">F37*105%</f>
        <v>19538811.495000005</v>
      </c>
      <c r="H37" s="87">
        <f t="shared" ref="H37" si="9">G37*105%</f>
        <v>20515752.069750007</v>
      </c>
    </row>
    <row r="38" spans="2:8" ht="16.2" thickBot="1" x14ac:dyDescent="0.35">
      <c r="B38" s="79" t="s">
        <v>161</v>
      </c>
      <c r="C38" s="43">
        <f>SUM(C34:C37)</f>
        <v>96252141.840000004</v>
      </c>
      <c r="D38" s="43">
        <f>SUM(D34:D37)</f>
        <v>195929704.42643476</v>
      </c>
      <c r="E38" s="32">
        <f>SUM(E34:E37)</f>
        <v>212929704.42643476</v>
      </c>
      <c r="F38" s="32">
        <f t="shared" ref="F38:H38" si="10">SUM(F34:F37)</f>
        <v>223576189.64775652</v>
      </c>
      <c r="G38" s="32">
        <f t="shared" si="10"/>
        <v>234754999.13014436</v>
      </c>
      <c r="H38" s="32">
        <f t="shared" si="10"/>
        <v>246492749.08665159</v>
      </c>
    </row>
    <row r="39" spans="2:8" ht="16.2" thickTop="1" x14ac:dyDescent="0.3">
      <c r="B39" s="65"/>
      <c r="C39" s="58"/>
      <c r="D39" s="58"/>
      <c r="E39" s="58"/>
      <c r="F39" s="58"/>
      <c r="G39" s="58"/>
      <c r="H39" s="58"/>
    </row>
    <row r="40" spans="2:8" ht="15.6" x14ac:dyDescent="0.3">
      <c r="B40" s="81"/>
      <c r="C40" s="88"/>
      <c r="D40" s="88"/>
      <c r="E40" s="89"/>
      <c r="F40" s="9"/>
      <c r="G40" s="9"/>
      <c r="H40" s="9"/>
    </row>
    <row r="41" spans="2:8" ht="15.6" x14ac:dyDescent="0.3">
      <c r="B41" s="67" t="s">
        <v>205</v>
      </c>
      <c r="C41" s="88"/>
      <c r="D41" s="88"/>
      <c r="E41" s="82"/>
    </row>
    <row r="42" spans="2:8" ht="15.6" x14ac:dyDescent="0.3">
      <c r="B42" s="60" t="s">
        <v>76</v>
      </c>
      <c r="C42" s="39">
        <v>46112</v>
      </c>
      <c r="D42" s="39">
        <v>46477</v>
      </c>
      <c r="E42" s="39">
        <v>46843</v>
      </c>
      <c r="F42" s="39">
        <v>47208</v>
      </c>
      <c r="G42" s="39">
        <v>47573</v>
      </c>
      <c r="H42" s="39">
        <v>47938</v>
      </c>
    </row>
    <row r="43" spans="2:8" ht="15.6" x14ac:dyDescent="0.3">
      <c r="B43" s="90" t="s">
        <v>173</v>
      </c>
      <c r="C43" s="93">
        <v>4941418.7700000005</v>
      </c>
      <c r="D43" s="91">
        <v>6176773.4625000004</v>
      </c>
      <c r="E43" s="92">
        <v>6485612.135625001</v>
      </c>
      <c r="F43" s="92">
        <v>6809892.7424062518</v>
      </c>
      <c r="G43" s="92">
        <v>7150387.3795265649</v>
      </c>
      <c r="H43" s="92">
        <v>7507906.7485028934</v>
      </c>
    </row>
    <row r="44" spans="2:8" ht="15.6" x14ac:dyDescent="0.3">
      <c r="B44" s="90" t="s">
        <v>174</v>
      </c>
      <c r="C44" s="93">
        <v>361469</v>
      </c>
      <c r="D44" s="91">
        <v>766882.14234068</v>
      </c>
      <c r="E44" s="92">
        <v>805226.24945771403</v>
      </c>
      <c r="F44" s="92">
        <v>845487.56193059974</v>
      </c>
      <c r="G44" s="92">
        <v>887761.94002712972</v>
      </c>
      <c r="H44" s="92">
        <v>932150.03702848626</v>
      </c>
    </row>
    <row r="45" spans="2:8" ht="15.6" x14ac:dyDescent="0.3">
      <c r="B45" s="90" t="s">
        <v>175</v>
      </c>
      <c r="C45" s="76">
        <v>203903.6</v>
      </c>
      <c r="D45" s="83">
        <v>308546.92751999997</v>
      </c>
      <c r="E45" s="92">
        <v>323974.273896</v>
      </c>
      <c r="F45" s="92">
        <v>340172.98759080004</v>
      </c>
      <c r="G45" s="92">
        <v>357181.63697034004</v>
      </c>
      <c r="H45" s="92">
        <v>375040.71881885704</v>
      </c>
    </row>
    <row r="46" spans="2:8" ht="15.6" x14ac:dyDescent="0.3">
      <c r="B46" s="90" t="s">
        <v>176</v>
      </c>
      <c r="C46" s="76">
        <v>1314673</v>
      </c>
      <c r="D46" s="83">
        <v>58758065.837775499</v>
      </c>
      <c r="E46" s="92">
        <v>61695969.12966428</v>
      </c>
      <c r="F46" s="92">
        <v>64780767.586147495</v>
      </c>
      <c r="G46" s="92">
        <v>68019805.965454876</v>
      </c>
      <c r="H46" s="92">
        <v>71420796.26372762</v>
      </c>
    </row>
    <row r="47" spans="2:8" ht="15.6" x14ac:dyDescent="0.3">
      <c r="B47" s="90" t="s">
        <v>177</v>
      </c>
      <c r="C47" s="76">
        <v>130560</v>
      </c>
      <c r="D47" s="83">
        <v>150000</v>
      </c>
      <c r="E47" s="92">
        <v>157500</v>
      </c>
      <c r="F47" s="92">
        <v>165375</v>
      </c>
      <c r="G47" s="92">
        <v>173643.75</v>
      </c>
      <c r="H47" s="92">
        <v>182325.9375</v>
      </c>
    </row>
    <row r="48" spans="2:8" ht="15.6" x14ac:dyDescent="0.3">
      <c r="B48" s="90" t="s">
        <v>178</v>
      </c>
      <c r="C48" s="76">
        <f>31704592.75+15358890.76</f>
        <v>47063483.509999998</v>
      </c>
      <c r="D48" s="83">
        <v>244735913.62775901</v>
      </c>
      <c r="E48" s="92">
        <v>342995455.31966394</v>
      </c>
      <c r="F48" s="92">
        <v>560444883.6654079</v>
      </c>
      <c r="G48" s="92">
        <v>966693380.59549475</v>
      </c>
      <c r="H48" s="92">
        <v>1208366725.7443686</v>
      </c>
    </row>
    <row r="49" spans="2:8" ht="15.6" x14ac:dyDescent="0.3">
      <c r="B49" s="90" t="s">
        <v>179</v>
      </c>
      <c r="C49" s="76">
        <v>350641.63</v>
      </c>
      <c r="D49" s="83">
        <v>350000</v>
      </c>
      <c r="E49" s="92">
        <v>367500</v>
      </c>
      <c r="F49" s="92">
        <v>385875</v>
      </c>
      <c r="G49" s="92">
        <v>405168.75</v>
      </c>
      <c r="H49" s="92">
        <v>425427.1875</v>
      </c>
    </row>
    <row r="50" spans="2:8" ht="15.6" x14ac:dyDescent="0.3">
      <c r="B50" s="90" t="s">
        <v>180</v>
      </c>
      <c r="C50" s="76">
        <v>9020439.8200000003</v>
      </c>
      <c r="D50" s="83">
        <v>76668511.995701492</v>
      </c>
      <c r="E50" s="92">
        <v>107599925.65529998</v>
      </c>
      <c r="F50" s="92">
        <v>175815238.60159996</v>
      </c>
      <c r="G50" s="92">
        <v>303258058.58449399</v>
      </c>
      <c r="H50" s="92">
        <v>379072573.23061752</v>
      </c>
    </row>
    <row r="51" spans="2:8" ht="15.6" x14ac:dyDescent="0.3">
      <c r="B51" s="90" t="s">
        <v>181</v>
      </c>
      <c r="C51" s="76">
        <v>693564.26</v>
      </c>
      <c r="D51" s="83">
        <v>750000</v>
      </c>
      <c r="E51" s="92">
        <v>787500</v>
      </c>
      <c r="F51" s="92">
        <v>826875</v>
      </c>
      <c r="G51" s="92">
        <v>868218.75</v>
      </c>
      <c r="H51" s="92">
        <v>911629.6875</v>
      </c>
    </row>
    <row r="52" spans="2:8" ht="15.6" x14ac:dyDescent="0.3">
      <c r="B52" s="90" t="s">
        <v>182</v>
      </c>
      <c r="C52" s="76">
        <v>659246.97</v>
      </c>
      <c r="D52" s="83">
        <v>1126817</v>
      </c>
      <c r="E52" s="92">
        <v>1183157.8500000001</v>
      </c>
      <c r="F52" s="92">
        <v>1242315.7425000002</v>
      </c>
      <c r="G52" s="92">
        <v>1304431.5296250002</v>
      </c>
      <c r="H52" s="92">
        <v>1369653.1061062503</v>
      </c>
    </row>
    <row r="53" spans="2:8" ht="15.6" x14ac:dyDescent="0.3">
      <c r="B53" s="90" t="s">
        <v>320</v>
      </c>
      <c r="C53" s="76"/>
      <c r="D53" s="58">
        <v>29022566.995701499</v>
      </c>
      <c r="E53" s="92">
        <v>30473695.345486574</v>
      </c>
      <c r="F53" s="92">
        <v>31997380.112760905</v>
      </c>
      <c r="G53" s="92">
        <v>33597249.11839895</v>
      </c>
      <c r="H53" s="92">
        <v>35277111.574318901</v>
      </c>
    </row>
    <row r="54" spans="2:8" ht="15.6" x14ac:dyDescent="0.3">
      <c r="B54" s="90" t="s">
        <v>183</v>
      </c>
      <c r="C54" s="76">
        <v>5413046</v>
      </c>
      <c r="D54" s="83">
        <v>7500000</v>
      </c>
      <c r="E54" s="92">
        <v>7875000</v>
      </c>
      <c r="F54" s="92">
        <v>8268750</v>
      </c>
      <c r="G54" s="92">
        <v>8682187.5</v>
      </c>
      <c r="H54" s="92">
        <v>9116296.875</v>
      </c>
    </row>
    <row r="55" spans="2:8" ht="15.6" x14ac:dyDescent="0.3">
      <c r="B55" s="90" t="s">
        <v>184</v>
      </c>
      <c r="C55" s="76">
        <f>366601+211953.25</f>
        <v>578554.25</v>
      </c>
      <c r="D55" s="83">
        <v>736615.2710999999</v>
      </c>
      <c r="E55" s="92">
        <v>773446.03465499997</v>
      </c>
      <c r="F55" s="92">
        <v>812118.33638774999</v>
      </c>
      <c r="G55" s="92">
        <v>852724.25320713758</v>
      </c>
      <c r="H55" s="92">
        <v>895360.46586749447</v>
      </c>
    </row>
    <row r="56" spans="2:8" ht="15.6" x14ac:dyDescent="0.3">
      <c r="B56" s="90" t="s">
        <v>185</v>
      </c>
      <c r="C56" s="76">
        <v>181787.65999999642</v>
      </c>
      <c r="D56" s="83">
        <v>272681.48999999464</v>
      </c>
      <c r="E56" s="92">
        <v>286315.56449999439</v>
      </c>
      <c r="F56" s="92">
        <v>300631.34272499412</v>
      </c>
      <c r="G56" s="92">
        <v>315662.90986124385</v>
      </c>
      <c r="H56" s="92">
        <v>331446.05535430607</v>
      </c>
    </row>
    <row r="57" spans="2:8" ht="15.6" x14ac:dyDescent="0.3">
      <c r="B57" s="90" t="s">
        <v>186</v>
      </c>
      <c r="C57" s="76">
        <v>4127343.5</v>
      </c>
      <c r="D57" s="83">
        <v>29471820</v>
      </c>
      <c r="E57" s="92">
        <v>30945411</v>
      </c>
      <c r="F57" s="92">
        <v>32492681.550000001</v>
      </c>
      <c r="G57" s="92">
        <v>34117315.627500005</v>
      </c>
      <c r="H57" s="92">
        <v>35823181.408875003</v>
      </c>
    </row>
    <row r="58" spans="2:8" ht="15.6" x14ac:dyDescent="0.3">
      <c r="B58" s="90" t="s">
        <v>187</v>
      </c>
      <c r="C58" s="76">
        <v>2776352.24</v>
      </c>
      <c r="D58" s="83">
        <v>3331622.6880000001</v>
      </c>
      <c r="E58" s="92">
        <v>3498203.8224000004</v>
      </c>
      <c r="F58" s="92">
        <v>3673114.0135200005</v>
      </c>
      <c r="G58" s="92">
        <v>3856769.7141960007</v>
      </c>
      <c r="H58" s="92">
        <v>4049608.1999058011</v>
      </c>
    </row>
    <row r="59" spans="2:8" ht="15.6" x14ac:dyDescent="0.3">
      <c r="B59" s="90" t="s">
        <v>188</v>
      </c>
      <c r="C59" s="94">
        <f>16700+830194.8</f>
        <v>846894.8</v>
      </c>
      <c r="D59" s="83">
        <v>1431026</v>
      </c>
      <c r="E59" s="92">
        <v>1502577.3</v>
      </c>
      <c r="F59" s="92">
        <v>1577706.165</v>
      </c>
      <c r="G59" s="92">
        <v>1656591.47325</v>
      </c>
      <c r="H59" s="92">
        <v>1739421.0469125002</v>
      </c>
    </row>
    <row r="60" spans="2:8" ht="15.6" x14ac:dyDescent="0.3">
      <c r="B60" s="90" t="s">
        <v>189</v>
      </c>
      <c r="C60" s="76">
        <v>1300603.6200000001</v>
      </c>
      <c r="D60" s="83">
        <v>1500000</v>
      </c>
      <c r="E60" s="92">
        <v>1575000</v>
      </c>
      <c r="F60" s="92">
        <v>1653750</v>
      </c>
      <c r="G60" s="92">
        <v>1736437.5</v>
      </c>
      <c r="H60" s="92">
        <v>1823259.375</v>
      </c>
    </row>
    <row r="61" spans="2:8" ht="15.6" x14ac:dyDescent="0.3">
      <c r="B61" s="90" t="s">
        <v>190</v>
      </c>
      <c r="C61" s="76">
        <f>15156984.94+112500+479896.17+11647761.6</f>
        <v>27397142.710000001</v>
      </c>
      <c r="D61" s="83">
        <v>181005220</v>
      </c>
      <c r="E61" s="92">
        <v>190055481</v>
      </c>
      <c r="F61" s="92">
        <v>199558255.05000001</v>
      </c>
      <c r="G61" s="92">
        <v>209536167.80250001</v>
      </c>
      <c r="H61" s="92">
        <v>220012976.19262502</v>
      </c>
    </row>
    <row r="62" spans="2:8" ht="15.6" x14ac:dyDescent="0.3">
      <c r="B62" s="90" t="s">
        <v>319</v>
      </c>
      <c r="C62" s="76">
        <v>6265830.1200000001</v>
      </c>
      <c r="D62" s="83">
        <v>15000000</v>
      </c>
      <c r="E62" s="92">
        <v>15750000</v>
      </c>
      <c r="F62" s="92">
        <v>16537500</v>
      </c>
      <c r="G62" s="92">
        <v>17364375</v>
      </c>
      <c r="H62" s="92">
        <v>18232593.75</v>
      </c>
    </row>
    <row r="63" spans="2:8" ht="15.6" x14ac:dyDescent="0.3">
      <c r="B63" s="90" t="s">
        <v>191</v>
      </c>
      <c r="C63" s="76">
        <v>10712.369999999999</v>
      </c>
      <c r="D63" s="83">
        <v>15000</v>
      </c>
      <c r="E63" s="92">
        <v>15750</v>
      </c>
      <c r="F63" s="92">
        <v>16537.5</v>
      </c>
      <c r="G63" s="92">
        <v>17364.375</v>
      </c>
      <c r="H63" s="92">
        <v>18232.59375</v>
      </c>
    </row>
    <row r="64" spans="2:8" ht="15.6" x14ac:dyDescent="0.3">
      <c r="B64" s="90" t="s">
        <v>192</v>
      </c>
      <c r="C64" s="76">
        <f>270782.27+27730</f>
        <v>298512.27</v>
      </c>
      <c r="D64" s="83">
        <v>447768.40500000003</v>
      </c>
      <c r="E64" s="92">
        <v>470156.82525000005</v>
      </c>
      <c r="F64" s="92">
        <v>493664.66651250009</v>
      </c>
      <c r="G64" s="92">
        <v>518347.8998381251</v>
      </c>
      <c r="H64" s="92">
        <v>544265.29483003134</v>
      </c>
    </row>
    <row r="65" spans="2:9" ht="15.6" x14ac:dyDescent="0.3">
      <c r="B65" s="90" t="s">
        <v>193</v>
      </c>
      <c r="C65" s="76">
        <v>201850</v>
      </c>
      <c r="D65" s="83">
        <v>468000</v>
      </c>
      <c r="E65" s="92">
        <v>491400</v>
      </c>
      <c r="F65" s="92">
        <v>515970</v>
      </c>
      <c r="G65" s="92">
        <v>541768.5</v>
      </c>
      <c r="H65" s="92">
        <v>568856.92500000005</v>
      </c>
    </row>
    <row r="66" spans="2:9" ht="15.6" x14ac:dyDescent="0.3">
      <c r="B66" s="90" t="s">
        <v>194</v>
      </c>
      <c r="C66" s="76">
        <f>8821754.12+192112.22+284845</f>
        <v>9298711.3399999999</v>
      </c>
      <c r="D66" s="83">
        <v>10793505.855851701</v>
      </c>
      <c r="E66" s="92">
        <v>11333181.148644285</v>
      </c>
      <c r="F66" s="92">
        <v>11899840.206076501</v>
      </c>
      <c r="G66" s="92">
        <v>12494832.216380326</v>
      </c>
      <c r="H66" s="92">
        <v>13119573.827199344</v>
      </c>
    </row>
    <row r="67" spans="2:9" ht="15.6" x14ac:dyDescent="0.3">
      <c r="B67" s="90" t="s">
        <v>195</v>
      </c>
      <c r="C67" s="76">
        <v>6206818.5700000003</v>
      </c>
      <c r="D67" s="83">
        <v>15816000</v>
      </c>
      <c r="E67" s="92">
        <v>16606800</v>
      </c>
      <c r="F67" s="92">
        <v>17437140</v>
      </c>
      <c r="G67" s="92">
        <v>18308997</v>
      </c>
      <c r="H67" s="92">
        <v>19224446.850000001</v>
      </c>
    </row>
    <row r="68" spans="2:9" ht="15.6" x14ac:dyDescent="0.3">
      <c r="B68" s="90" t="s">
        <v>196</v>
      </c>
      <c r="C68" s="76">
        <v>1029041.09</v>
      </c>
      <c r="D68" s="83">
        <v>1543561.635</v>
      </c>
      <c r="E68" s="92">
        <v>1620739.7167500001</v>
      </c>
      <c r="F68" s="92">
        <v>1701776.7025875002</v>
      </c>
      <c r="G68" s="92">
        <v>1786865.5377168753</v>
      </c>
      <c r="H68" s="92">
        <v>1876208.8146027192</v>
      </c>
    </row>
    <row r="69" spans="2:9" ht="15.6" x14ac:dyDescent="0.3">
      <c r="B69" s="90" t="s">
        <v>197</v>
      </c>
      <c r="C69" s="76">
        <v>1968250.46</v>
      </c>
      <c r="D69" s="83">
        <v>2386110.032658</v>
      </c>
      <c r="E69" s="92">
        <v>2505415.5342909</v>
      </c>
      <c r="F69" s="92">
        <v>2630686.3110054452</v>
      </c>
      <c r="G69" s="92">
        <v>2762220.6265557176</v>
      </c>
      <c r="H69" s="92">
        <v>2900331.6578835035</v>
      </c>
    </row>
    <row r="70" spans="2:9" ht="15.6" x14ac:dyDescent="0.3">
      <c r="B70" s="90" t="s">
        <v>198</v>
      </c>
      <c r="C70" s="76">
        <v>477708.74</v>
      </c>
      <c r="D70" s="83">
        <v>11119827.558949206</v>
      </c>
      <c r="E70" s="92">
        <v>11675818.936896667</v>
      </c>
      <c r="F70" s="92">
        <v>12259609.8837415</v>
      </c>
      <c r="G70" s="92">
        <v>12872590.377928576</v>
      </c>
      <c r="H70" s="92">
        <v>13516219.896825004</v>
      </c>
    </row>
    <row r="71" spans="2:9" ht="15.6" x14ac:dyDescent="0.3">
      <c r="B71" s="90" t="s">
        <v>199</v>
      </c>
      <c r="C71" s="76">
        <v>15867988.27</v>
      </c>
      <c r="D71" s="83">
        <v>17311147.456132781</v>
      </c>
      <c r="E71" s="92">
        <v>18176704.828939419</v>
      </c>
      <c r="F71" s="92">
        <v>19085540.070386391</v>
      </c>
      <c r="G71" s="92">
        <v>20039817.07390571</v>
      </c>
      <c r="H71" s="92">
        <v>21041807.927600995</v>
      </c>
    </row>
    <row r="72" spans="2:9" ht="16.2" thickBot="1" x14ac:dyDescent="0.35">
      <c r="B72" s="90" t="s">
        <v>200</v>
      </c>
      <c r="C72" s="76">
        <v>236650</v>
      </c>
      <c r="D72" s="83">
        <v>306816.72499999998</v>
      </c>
      <c r="E72" s="92">
        <v>322157.56124999997</v>
      </c>
      <c r="F72" s="92">
        <v>338265.43931250001</v>
      </c>
      <c r="G72" s="92">
        <v>355178.711278125</v>
      </c>
      <c r="H72" s="92">
        <v>372937.64684203127</v>
      </c>
    </row>
    <row r="73" spans="2:9" ht="16.2" thickBot="1" x14ac:dyDescent="0.35">
      <c r="B73" s="95" t="s">
        <v>206</v>
      </c>
      <c r="C73" s="96">
        <f t="shared" ref="C73:H73" si="11">SUM(C43:C72)</f>
        <v>149223198.57000002</v>
      </c>
      <c r="D73" s="96">
        <f t="shared" si="11"/>
        <v>719270801.10698974</v>
      </c>
      <c r="E73" s="96">
        <f t="shared" si="11"/>
        <v>868355075.23266971</v>
      </c>
      <c r="F73" s="96">
        <f t="shared" si="11"/>
        <v>1174907801.2375989</v>
      </c>
      <c r="G73" s="96">
        <f t="shared" si="11"/>
        <v>1730531502.0991096</v>
      </c>
      <c r="H73" s="96">
        <f t="shared" si="11"/>
        <v>2071048365.0400629</v>
      </c>
    </row>
    <row r="74" spans="2:9" ht="15" thickTop="1" x14ac:dyDescent="0.3">
      <c r="C74" s="3"/>
      <c r="D74" s="219"/>
      <c r="E74" s="3"/>
      <c r="F74" s="3"/>
      <c r="G74" s="3"/>
      <c r="H74" s="3"/>
      <c r="I74" s="13"/>
    </row>
    <row r="75" spans="2:9" ht="15.6" x14ac:dyDescent="0.3">
      <c r="B75" s="271" t="s">
        <v>216</v>
      </c>
      <c r="C75" s="271"/>
      <c r="D75" s="271"/>
      <c r="E75" s="271"/>
    </row>
    <row r="76" spans="2:9" ht="15.6" x14ac:dyDescent="0.3">
      <c r="B76" s="98" t="s">
        <v>76</v>
      </c>
      <c r="C76" s="39">
        <v>46112</v>
      </c>
      <c r="D76" s="39">
        <v>46477</v>
      </c>
      <c r="E76" s="39">
        <v>46843</v>
      </c>
      <c r="F76" s="39">
        <v>47208</v>
      </c>
      <c r="G76" s="39">
        <v>47573</v>
      </c>
      <c r="H76" s="39">
        <v>47938</v>
      </c>
    </row>
    <row r="77" spans="2:9" ht="15.6" x14ac:dyDescent="0.3">
      <c r="B77" s="99" t="s">
        <v>207</v>
      </c>
      <c r="C77" s="100"/>
      <c r="D77" s="100"/>
      <c r="E77" s="100"/>
      <c r="F77" s="100"/>
      <c r="G77" s="100"/>
      <c r="H77" s="100"/>
    </row>
    <row r="78" spans="2:9" ht="15.6" x14ac:dyDescent="0.3">
      <c r="B78" s="101" t="s">
        <v>208</v>
      </c>
      <c r="C78" s="102">
        <v>505852510</v>
      </c>
      <c r="D78" s="102">
        <f>C81</f>
        <v>550047991</v>
      </c>
      <c r="E78" s="102">
        <f t="shared" ref="E78:H78" si="12">D81</f>
        <v>700665731</v>
      </c>
      <c r="F78" s="102">
        <f t="shared" si="12"/>
        <v>700665731</v>
      </c>
      <c r="G78" s="102">
        <f t="shared" si="12"/>
        <v>700665731</v>
      </c>
      <c r="H78" s="102">
        <f t="shared" si="12"/>
        <v>700665731</v>
      </c>
    </row>
    <row r="79" spans="2:9" ht="15.6" x14ac:dyDescent="0.3">
      <c r="B79" s="101" t="s">
        <v>209</v>
      </c>
      <c r="C79" s="102">
        <v>44195481</v>
      </c>
      <c r="D79" s="102">
        <v>150617740</v>
      </c>
      <c r="E79" s="102">
        <v>0</v>
      </c>
      <c r="F79" s="102">
        <v>0</v>
      </c>
      <c r="G79" s="102">
        <v>0</v>
      </c>
      <c r="H79" s="102">
        <v>0</v>
      </c>
    </row>
    <row r="80" spans="2:9" ht="15.6" x14ac:dyDescent="0.3">
      <c r="B80" s="101" t="s">
        <v>210</v>
      </c>
      <c r="C80" s="102"/>
      <c r="D80" s="102"/>
      <c r="E80" s="102"/>
      <c r="F80" s="102"/>
      <c r="G80" s="102"/>
      <c r="H80" s="102"/>
    </row>
    <row r="81" spans="2:8" ht="16.2" thickBot="1" x14ac:dyDescent="0.35">
      <c r="B81" s="101" t="s">
        <v>211</v>
      </c>
      <c r="C81" s="103">
        <f>C78+C79-C80</f>
        <v>550047991</v>
      </c>
      <c r="D81" s="103">
        <f>D78+D79-D80</f>
        <v>700665731</v>
      </c>
      <c r="E81" s="103">
        <f>E78+E79-E80</f>
        <v>700665731</v>
      </c>
      <c r="F81" s="103">
        <f t="shared" ref="F81:H81" si="13">F78+F79-F80</f>
        <v>700665731</v>
      </c>
      <c r="G81" s="103">
        <f t="shared" si="13"/>
        <v>700665731</v>
      </c>
      <c r="H81" s="103">
        <f t="shared" si="13"/>
        <v>700665731</v>
      </c>
    </row>
    <row r="82" spans="2:8" ht="15.6" x14ac:dyDescent="0.3">
      <c r="B82" s="104"/>
      <c r="C82" s="105"/>
      <c r="D82" s="105"/>
      <c r="E82" s="105"/>
      <c r="F82" s="105"/>
      <c r="G82" s="105"/>
      <c r="H82" s="105"/>
    </row>
    <row r="83" spans="2:8" ht="31.2" x14ac:dyDescent="0.3">
      <c r="B83" s="106" t="s">
        <v>212</v>
      </c>
      <c r="C83" s="105"/>
      <c r="D83" s="105"/>
      <c r="E83" s="105"/>
      <c r="F83" s="105"/>
      <c r="G83" s="105"/>
      <c r="H83" s="105"/>
    </row>
    <row r="84" spans="2:8" ht="15.6" x14ac:dyDescent="0.3">
      <c r="B84" s="107" t="s">
        <v>208</v>
      </c>
      <c r="C84" s="102">
        <v>92669380</v>
      </c>
      <c r="D84" s="102">
        <f>C89</f>
        <v>275770045.52810162</v>
      </c>
      <c r="E84" s="102">
        <f t="shared" ref="E84:H84" si="14">D89</f>
        <v>563738934.7094903</v>
      </c>
      <c r="F84" s="102">
        <f t="shared" si="14"/>
        <v>996125701.50224328</v>
      </c>
      <c r="G84" s="102">
        <f t="shared" si="14"/>
        <v>1959086503.415843</v>
      </c>
      <c r="H84" s="102">
        <f t="shared" si="14"/>
        <v>4350624647.5473776</v>
      </c>
    </row>
    <row r="85" spans="2:8" ht="15.6" x14ac:dyDescent="0.3">
      <c r="B85" s="107" t="s">
        <v>213</v>
      </c>
      <c r="C85" s="108">
        <f>IS!C41</f>
        <v>183100665.52810162</v>
      </c>
      <c r="D85" s="108">
        <f>IS!D41</f>
        <v>287968889.18138862</v>
      </c>
      <c r="E85" s="108">
        <f>IS!E41</f>
        <v>432386766.79275292</v>
      </c>
      <c r="F85" s="108">
        <f>IS!F41</f>
        <v>962960801.91359973</v>
      </c>
      <c r="G85" s="108">
        <f>IS!G41</f>
        <v>2391538144.1315346</v>
      </c>
      <c r="H85" s="108">
        <f>IS!H41</f>
        <v>2968053114.2514648</v>
      </c>
    </row>
    <row r="86" spans="2:8" ht="15.6" x14ac:dyDescent="0.3">
      <c r="B86" s="107" t="s">
        <v>214</v>
      </c>
      <c r="C86" s="108"/>
      <c r="D86" s="108"/>
      <c r="E86" s="108"/>
      <c r="F86" s="108"/>
      <c r="G86" s="108"/>
      <c r="H86" s="108"/>
    </row>
    <row r="87" spans="2:8" ht="15.6" x14ac:dyDescent="0.3">
      <c r="B87" s="109" t="s">
        <v>215</v>
      </c>
      <c r="C87" s="102">
        <v>0</v>
      </c>
      <c r="D87" s="102"/>
      <c r="E87" s="108">
        <v>0</v>
      </c>
      <c r="F87" s="108"/>
      <c r="G87" s="108"/>
      <c r="H87" s="108"/>
    </row>
    <row r="88" spans="2:8" ht="15.6" x14ac:dyDescent="0.3">
      <c r="B88" s="109"/>
      <c r="C88" s="110"/>
      <c r="D88" s="110"/>
      <c r="E88" s="110"/>
      <c r="F88" s="110"/>
      <c r="G88" s="110"/>
      <c r="H88" s="110"/>
    </row>
    <row r="89" spans="2:8" ht="16.2" thickBot="1" x14ac:dyDescent="0.35">
      <c r="B89" s="111" t="s">
        <v>211</v>
      </c>
      <c r="C89" s="112">
        <f>C84+C85-C86-C87</f>
        <v>275770045.52810162</v>
      </c>
      <c r="D89" s="112">
        <f>D84+D85-D86-D87</f>
        <v>563738934.7094903</v>
      </c>
      <c r="E89" s="112">
        <f>E84+E85-E86-E87</f>
        <v>996125701.50224328</v>
      </c>
      <c r="F89" s="112">
        <f t="shared" ref="F89:H89" si="15">F84+F85-F86-F87</f>
        <v>1959086503.415843</v>
      </c>
      <c r="G89" s="112">
        <f t="shared" si="15"/>
        <v>4350624647.5473776</v>
      </c>
      <c r="H89" s="112">
        <f t="shared" si="15"/>
        <v>7318677761.7988424</v>
      </c>
    </row>
    <row r="90" spans="2:8" ht="15.6" x14ac:dyDescent="0.3">
      <c r="B90" s="104"/>
      <c r="C90" s="113"/>
      <c r="D90" s="113"/>
      <c r="E90" s="113"/>
      <c r="F90" s="113"/>
      <c r="G90" s="113"/>
      <c r="H90" s="113"/>
    </row>
    <row r="91" spans="2:8" ht="16.2" thickBot="1" x14ac:dyDescent="0.35">
      <c r="B91" s="114" t="s">
        <v>161</v>
      </c>
      <c r="C91" s="115">
        <f>C81+C89</f>
        <v>825818036.52810168</v>
      </c>
      <c r="D91" s="115">
        <f>D81+D89</f>
        <v>1264404665.7094903</v>
      </c>
      <c r="E91" s="115">
        <f>E81+E89</f>
        <v>1696791432.5022433</v>
      </c>
      <c r="F91" s="115">
        <f t="shared" ref="F91:H91" si="16">F81+F89</f>
        <v>2659752234.415843</v>
      </c>
      <c r="G91" s="115">
        <f t="shared" si="16"/>
        <v>5051290378.5473776</v>
      </c>
      <c r="H91" s="115">
        <f t="shared" si="16"/>
        <v>8019343492.7988424</v>
      </c>
    </row>
    <row r="92" spans="2:8" ht="15" thickTop="1" x14ac:dyDescent="0.3">
      <c r="C92" s="220"/>
    </row>
    <row r="93" spans="2:8" ht="15.6" x14ac:dyDescent="0.3">
      <c r="B93" s="116" t="s">
        <v>301</v>
      </c>
      <c r="C93" s="117"/>
      <c r="D93" s="117"/>
      <c r="E93" s="117"/>
    </row>
    <row r="94" spans="2:8" ht="15.6" x14ac:dyDescent="0.3">
      <c r="B94" s="118" t="s">
        <v>76</v>
      </c>
      <c r="C94" s="39">
        <v>46112</v>
      </c>
      <c r="D94" s="39">
        <v>46477</v>
      </c>
      <c r="E94" s="39">
        <v>46843</v>
      </c>
      <c r="F94" s="39">
        <v>47208</v>
      </c>
      <c r="G94" s="39">
        <v>47573</v>
      </c>
      <c r="H94" s="39">
        <v>47938</v>
      </c>
    </row>
    <row r="95" spans="2:8" ht="15.6" x14ac:dyDescent="0.3">
      <c r="B95" s="119" t="s">
        <v>217</v>
      </c>
      <c r="C95" s="120"/>
      <c r="D95" s="120"/>
      <c r="E95" s="120"/>
      <c r="F95" s="120"/>
      <c r="G95" s="120"/>
      <c r="H95" s="120"/>
    </row>
    <row r="96" spans="2:8" ht="15.6" x14ac:dyDescent="0.3">
      <c r="B96" s="121" t="s">
        <v>218</v>
      </c>
      <c r="C96" s="120"/>
      <c r="D96" s="120"/>
      <c r="E96" s="120"/>
      <c r="F96" s="120"/>
      <c r="G96" s="120"/>
      <c r="H96" s="120"/>
    </row>
    <row r="97" spans="2:8" ht="15.6" x14ac:dyDescent="0.3">
      <c r="B97" s="122" t="s">
        <v>219</v>
      </c>
      <c r="C97" s="120">
        <f>BS!C12</f>
        <v>32690547.440000001</v>
      </c>
      <c r="D97" s="120">
        <f>BS!D12</f>
        <v>57315522.329999998</v>
      </c>
      <c r="E97" s="120">
        <f>BS!E12</f>
        <v>35363372.450000003</v>
      </c>
      <c r="F97" s="120">
        <f>BS!F12</f>
        <v>24494647</v>
      </c>
      <c r="G97" s="120">
        <f>BS!G12</f>
        <v>13495417</v>
      </c>
      <c r="H97" s="120">
        <f>BS!H12</f>
        <v>1101210</v>
      </c>
    </row>
    <row r="98" spans="2:8" ht="31.2" x14ac:dyDescent="0.3">
      <c r="B98" s="122" t="s">
        <v>220</v>
      </c>
      <c r="C98" s="120"/>
      <c r="D98" s="120"/>
      <c r="E98" s="120"/>
      <c r="F98" s="120"/>
      <c r="G98" s="120"/>
      <c r="H98" s="120"/>
    </row>
    <row r="99" spans="2:8" ht="15.6" x14ac:dyDescent="0.3">
      <c r="B99" s="122" t="s">
        <v>221</v>
      </c>
      <c r="C99" s="120"/>
      <c r="D99" s="120"/>
      <c r="E99" s="120"/>
      <c r="F99" s="120"/>
      <c r="G99" s="120"/>
      <c r="H99" s="120"/>
    </row>
    <row r="100" spans="2:8" ht="15.6" x14ac:dyDescent="0.3">
      <c r="B100" s="121" t="s">
        <v>222</v>
      </c>
      <c r="C100" s="120"/>
      <c r="D100" s="120"/>
      <c r="E100" s="120"/>
      <c r="F100" s="120"/>
      <c r="G100" s="120"/>
      <c r="H100" s="120"/>
    </row>
    <row r="101" spans="2:8" ht="15.6" x14ac:dyDescent="0.3">
      <c r="B101" s="122" t="s">
        <v>219</v>
      </c>
      <c r="C101" s="120"/>
      <c r="D101" s="120"/>
      <c r="E101" s="120"/>
      <c r="F101" s="120"/>
      <c r="G101" s="120"/>
      <c r="H101" s="120"/>
    </row>
    <row r="102" spans="2:8" ht="15.6" x14ac:dyDescent="0.3">
      <c r="B102" s="122" t="s">
        <v>223</v>
      </c>
      <c r="C102" s="120"/>
      <c r="D102" s="120"/>
      <c r="E102" s="120"/>
      <c r="F102" s="120"/>
      <c r="G102" s="120"/>
      <c r="H102" s="120"/>
    </row>
    <row r="103" spans="2:8" ht="15.6" x14ac:dyDescent="0.3">
      <c r="B103" s="119" t="s">
        <v>224</v>
      </c>
      <c r="C103" s="120"/>
      <c r="D103" s="120"/>
      <c r="E103" s="120"/>
      <c r="F103" s="120"/>
      <c r="G103" s="120"/>
      <c r="H103" s="120"/>
    </row>
    <row r="104" spans="2:8" ht="15.6" x14ac:dyDescent="0.3">
      <c r="B104" s="123" t="s">
        <v>225</v>
      </c>
      <c r="C104" s="120"/>
      <c r="D104" s="120"/>
      <c r="E104" s="120"/>
      <c r="F104" s="120"/>
      <c r="G104" s="120"/>
      <c r="H104" s="120"/>
    </row>
    <row r="105" spans="2:8" ht="15.6" x14ac:dyDescent="0.3">
      <c r="B105" s="123" t="s">
        <v>226</v>
      </c>
      <c r="C105" s="120"/>
      <c r="D105" s="120"/>
      <c r="E105" s="120"/>
      <c r="F105" s="120"/>
      <c r="G105" s="120"/>
      <c r="H105" s="120"/>
    </row>
    <row r="106" spans="2:8" ht="15.6" x14ac:dyDescent="0.3">
      <c r="B106" s="123" t="s">
        <v>227</v>
      </c>
      <c r="C106" s="120"/>
      <c r="D106" s="120"/>
      <c r="E106" s="120"/>
      <c r="F106" s="120"/>
      <c r="G106" s="120"/>
      <c r="H106" s="120"/>
    </row>
    <row r="107" spans="2:8" ht="16.2" thickBot="1" x14ac:dyDescent="0.35">
      <c r="B107" s="124" t="s">
        <v>228</v>
      </c>
      <c r="C107" s="115">
        <f>SUM(C99:C106,C97)-C98</f>
        <v>32690547.440000001</v>
      </c>
      <c r="D107" s="115">
        <f>SUM(D99:D106,D97)-D98</f>
        <v>57315522.329999998</v>
      </c>
      <c r="E107" s="115">
        <f>SUM(E99:E106,E97)-E98</f>
        <v>35363372.450000003</v>
      </c>
      <c r="F107" s="115">
        <f t="shared" ref="F107:H107" si="17">SUM(F99:F106,F97)-F98</f>
        <v>24494647</v>
      </c>
      <c r="G107" s="115">
        <f t="shared" si="17"/>
        <v>13495417</v>
      </c>
      <c r="H107" s="115">
        <f t="shared" si="17"/>
        <v>1101210</v>
      </c>
    </row>
    <row r="108" spans="2:8" ht="16.2" thickTop="1" x14ac:dyDescent="0.3">
      <c r="B108" s="125"/>
      <c r="C108" s="126"/>
      <c r="D108" s="126"/>
      <c r="E108" s="126"/>
    </row>
    <row r="109" spans="2:8" ht="15.6" x14ac:dyDescent="0.3">
      <c r="B109" s="116" t="s">
        <v>229</v>
      </c>
      <c r="C109" s="126"/>
      <c r="D109" s="126"/>
      <c r="E109" s="126"/>
    </row>
    <row r="110" spans="2:8" ht="15.6" x14ac:dyDescent="0.3">
      <c r="B110" s="118" t="s">
        <v>76</v>
      </c>
      <c r="C110" s="39">
        <v>46112</v>
      </c>
      <c r="D110" s="39">
        <v>46477</v>
      </c>
      <c r="E110" s="39">
        <v>46843</v>
      </c>
      <c r="F110" s="39">
        <v>47208</v>
      </c>
      <c r="G110" s="39">
        <v>47573</v>
      </c>
      <c r="H110" s="39">
        <v>47938</v>
      </c>
    </row>
    <row r="111" spans="2:8" ht="15.6" x14ac:dyDescent="0.3">
      <c r="B111" s="107" t="s">
        <v>230</v>
      </c>
      <c r="C111" s="127">
        <v>111904674.7</v>
      </c>
      <c r="D111" s="127">
        <f>C111+50000000</f>
        <v>161904674.69999999</v>
      </c>
      <c r="E111" s="127">
        <f t="shared" ref="E111:H111" si="18">D111+50000000</f>
        <v>211904674.69999999</v>
      </c>
      <c r="F111" s="127">
        <f t="shared" si="18"/>
        <v>261904674.69999999</v>
      </c>
      <c r="G111" s="127">
        <f t="shared" si="18"/>
        <v>311904674.69999999</v>
      </c>
      <c r="H111" s="127">
        <f t="shared" si="18"/>
        <v>361904674.69999999</v>
      </c>
    </row>
    <row r="112" spans="2:8" ht="15.6" x14ac:dyDescent="0.3">
      <c r="B112" s="128"/>
      <c r="C112" s="100"/>
      <c r="D112" s="129"/>
      <c r="E112" s="127"/>
      <c r="F112" s="127"/>
      <c r="G112" s="127"/>
      <c r="H112" s="127"/>
    </row>
    <row r="113" spans="2:8" ht="16.2" thickBot="1" x14ac:dyDescent="0.35">
      <c r="B113" s="130" t="s">
        <v>161</v>
      </c>
      <c r="C113" s="131">
        <f>SUM(C111:C111)</f>
        <v>111904674.7</v>
      </c>
      <c r="D113" s="131">
        <f>SUM(D111:D111)</f>
        <v>161904674.69999999</v>
      </c>
      <c r="E113" s="115">
        <f>SUM(E111:E111)</f>
        <v>211904674.69999999</v>
      </c>
      <c r="F113" s="115">
        <f t="shared" ref="F113:H113" si="19">SUM(F111:F111)</f>
        <v>261904674.69999999</v>
      </c>
      <c r="G113" s="115">
        <f t="shared" si="19"/>
        <v>311904674.69999999</v>
      </c>
      <c r="H113" s="115">
        <f t="shared" si="19"/>
        <v>361904674.69999999</v>
      </c>
    </row>
    <row r="114" spans="2:8" ht="16.2" thickTop="1" x14ac:dyDescent="0.3">
      <c r="B114" s="125"/>
      <c r="C114" s="126"/>
      <c r="D114" s="126"/>
      <c r="E114" s="126"/>
    </row>
    <row r="115" spans="2:8" ht="15.6" x14ac:dyDescent="0.3">
      <c r="B115" s="116" t="s">
        <v>302</v>
      </c>
      <c r="C115" s="126"/>
      <c r="D115" s="126"/>
      <c r="E115" s="126"/>
    </row>
    <row r="116" spans="2:8" ht="15.6" x14ac:dyDescent="0.3">
      <c r="B116" s="118" t="s">
        <v>76</v>
      </c>
      <c r="C116" s="39">
        <v>46112</v>
      </c>
      <c r="D116" s="39">
        <v>46477</v>
      </c>
      <c r="E116" s="39">
        <v>46843</v>
      </c>
      <c r="F116" s="39">
        <v>47208</v>
      </c>
      <c r="G116" s="39">
        <v>47573</v>
      </c>
      <c r="H116" s="39">
        <v>47938</v>
      </c>
    </row>
    <row r="117" spans="2:8" ht="15.6" x14ac:dyDescent="0.3">
      <c r="B117" s="107" t="s">
        <v>231</v>
      </c>
      <c r="C117" s="132"/>
      <c r="D117" s="133"/>
      <c r="E117" s="133"/>
      <c r="F117" s="133"/>
      <c r="G117" s="133"/>
      <c r="H117" s="133"/>
    </row>
    <row r="118" spans="2:8" ht="16.2" thickBot="1" x14ac:dyDescent="0.35">
      <c r="B118" s="130" t="s">
        <v>161</v>
      </c>
      <c r="C118" s="134">
        <f>SUM(C117)</f>
        <v>0</v>
      </c>
      <c r="D118" s="134">
        <f>SUM(D117)</f>
        <v>0</v>
      </c>
      <c r="E118" s="134">
        <f>SUM(E117)</f>
        <v>0</v>
      </c>
      <c r="F118" s="134">
        <f t="shared" ref="F118:H118" si="20">SUM(F117)</f>
        <v>0</v>
      </c>
      <c r="G118" s="134">
        <f t="shared" si="20"/>
        <v>0</v>
      </c>
      <c r="H118" s="134">
        <f t="shared" si="20"/>
        <v>0</v>
      </c>
    </row>
    <row r="119" spans="2:8" ht="16.2" thickTop="1" x14ac:dyDescent="0.3">
      <c r="B119" s="135"/>
      <c r="C119" s="126"/>
      <c r="D119" s="126"/>
      <c r="E119" s="126"/>
    </row>
    <row r="120" spans="2:8" ht="15.6" x14ac:dyDescent="0.3">
      <c r="B120" s="116" t="s">
        <v>303</v>
      </c>
      <c r="C120" s="117"/>
      <c r="D120" s="117"/>
      <c r="E120" s="117"/>
    </row>
    <row r="121" spans="2:8" ht="15.6" x14ac:dyDescent="0.3">
      <c r="B121" s="98" t="s">
        <v>76</v>
      </c>
      <c r="C121" s="39">
        <v>46112</v>
      </c>
      <c r="D121" s="39">
        <v>46477</v>
      </c>
      <c r="E121" s="39">
        <v>46843</v>
      </c>
      <c r="F121" s="39">
        <v>47208</v>
      </c>
      <c r="G121" s="39">
        <v>47573</v>
      </c>
      <c r="H121" s="39">
        <v>47938</v>
      </c>
    </row>
    <row r="122" spans="2:8" ht="15.6" x14ac:dyDescent="0.3">
      <c r="B122" s="136" t="s">
        <v>232</v>
      </c>
      <c r="C122" s="137"/>
      <c r="D122" s="137"/>
      <c r="E122" s="137"/>
      <c r="F122" s="137"/>
      <c r="G122" s="137"/>
      <c r="H122" s="137"/>
    </row>
    <row r="123" spans="2:8" ht="15.6" x14ac:dyDescent="0.3">
      <c r="B123" s="138" t="s">
        <v>233</v>
      </c>
      <c r="C123" s="120">
        <v>119303768.75</v>
      </c>
      <c r="D123" s="120"/>
      <c r="E123" s="120"/>
      <c r="F123" s="120"/>
      <c r="G123" s="120"/>
      <c r="H123" s="120"/>
    </row>
    <row r="124" spans="2:8" ht="93.6" x14ac:dyDescent="0.3">
      <c r="B124" s="139" t="s">
        <v>234</v>
      </c>
      <c r="C124" s="120"/>
      <c r="D124" s="120"/>
      <c r="E124" s="120"/>
      <c r="F124" s="120"/>
      <c r="G124" s="120"/>
      <c r="H124" s="120"/>
    </row>
    <row r="125" spans="2:8" ht="15.6" x14ac:dyDescent="0.3">
      <c r="B125" s="138" t="s">
        <v>235</v>
      </c>
      <c r="C125" s="140">
        <v>49810954.619999997</v>
      </c>
      <c r="D125" s="140"/>
      <c r="E125" s="120"/>
      <c r="F125" s="120"/>
      <c r="G125" s="120"/>
      <c r="H125" s="120"/>
    </row>
    <row r="126" spans="2:8" ht="78" x14ac:dyDescent="0.3">
      <c r="B126" s="141" t="s">
        <v>236</v>
      </c>
      <c r="C126" s="120"/>
      <c r="D126" s="120"/>
      <c r="E126" s="120"/>
      <c r="F126" s="120"/>
      <c r="G126" s="120"/>
      <c r="H126" s="120"/>
    </row>
    <row r="127" spans="2:8" ht="15.6" x14ac:dyDescent="0.3">
      <c r="B127" s="138" t="s">
        <v>237</v>
      </c>
      <c r="C127" s="120">
        <v>37630380.5</v>
      </c>
      <c r="D127" s="120"/>
      <c r="E127" s="120"/>
      <c r="F127" s="120"/>
      <c r="G127" s="120"/>
      <c r="H127" s="120"/>
    </row>
    <row r="128" spans="2:8" ht="46.8" x14ac:dyDescent="0.3">
      <c r="B128" s="139" t="s">
        <v>238</v>
      </c>
      <c r="C128" s="120"/>
      <c r="D128" s="120"/>
      <c r="E128" s="120"/>
      <c r="F128" s="120"/>
      <c r="G128" s="120"/>
      <c r="H128" s="120"/>
    </row>
    <row r="129" spans="2:8" ht="15.6" x14ac:dyDescent="0.3">
      <c r="B129" s="138" t="s">
        <v>321</v>
      </c>
      <c r="C129" s="120"/>
      <c r="D129" s="120">
        <f>'EMI SCHEDULE KOTAK'!C70</f>
        <v>325000000</v>
      </c>
      <c r="E129" s="120">
        <f>'EMI SCHEDULE KOTAK'!D70</f>
        <v>275000000</v>
      </c>
      <c r="F129" s="120">
        <f>'EMI SCHEDULE KOTAK'!E70</f>
        <v>275000000</v>
      </c>
      <c r="G129" s="120">
        <f>'EMI SCHEDULE KOTAK'!F70</f>
        <v>275000000</v>
      </c>
      <c r="H129" s="120">
        <f>'EMI SCHEDULE KOTAK'!G70</f>
        <v>275000000</v>
      </c>
    </row>
    <row r="130" spans="2:8" ht="15.6" x14ac:dyDescent="0.3">
      <c r="B130" s="141" t="s">
        <v>239</v>
      </c>
      <c r="C130" s="120"/>
      <c r="D130" s="120"/>
      <c r="E130" s="120"/>
      <c r="F130" s="120"/>
      <c r="G130" s="120"/>
      <c r="H130" s="120"/>
    </row>
    <row r="131" spans="2:8" ht="15.6" x14ac:dyDescent="0.3">
      <c r="B131" s="141" t="s">
        <v>240</v>
      </c>
      <c r="C131" s="120"/>
      <c r="D131" s="120"/>
      <c r="E131" s="120"/>
      <c r="F131" s="120"/>
      <c r="G131" s="120"/>
      <c r="H131" s="120"/>
    </row>
    <row r="132" spans="2:8" ht="15.6" x14ac:dyDescent="0.3">
      <c r="B132" s="141" t="s">
        <v>241</v>
      </c>
      <c r="C132" s="120"/>
      <c r="D132" s="120"/>
      <c r="E132" s="120"/>
      <c r="F132" s="120"/>
      <c r="G132" s="120"/>
      <c r="H132" s="120"/>
    </row>
    <row r="133" spans="2:8" ht="16.2" thickBot="1" x14ac:dyDescent="0.35">
      <c r="B133" s="130" t="s">
        <v>161</v>
      </c>
      <c r="C133" s="115">
        <f t="shared" ref="C133:H133" si="21">SUM(C122:C132)</f>
        <v>206745103.87</v>
      </c>
      <c r="D133" s="115">
        <f t="shared" si="21"/>
        <v>325000000</v>
      </c>
      <c r="E133" s="115">
        <f t="shared" si="21"/>
        <v>275000000</v>
      </c>
      <c r="F133" s="115">
        <f t="shared" si="21"/>
        <v>275000000</v>
      </c>
      <c r="G133" s="115">
        <f t="shared" si="21"/>
        <v>275000000</v>
      </c>
      <c r="H133" s="115">
        <f t="shared" si="21"/>
        <v>275000000</v>
      </c>
    </row>
    <row r="134" spans="2:8" ht="16.2" thickTop="1" x14ac:dyDescent="0.3">
      <c r="B134" s="142"/>
      <c r="C134" s="117"/>
      <c r="D134" s="117"/>
      <c r="E134" s="117"/>
    </row>
    <row r="135" spans="2:8" ht="15.6" x14ac:dyDescent="0.3">
      <c r="B135" s="143" t="s">
        <v>304</v>
      </c>
      <c r="C135" s="144"/>
      <c r="D135" s="144"/>
      <c r="E135" s="144"/>
    </row>
    <row r="136" spans="2:8" ht="15.6" x14ac:dyDescent="0.3">
      <c r="B136" s="118" t="s">
        <v>76</v>
      </c>
      <c r="C136" s="39">
        <v>46112</v>
      </c>
      <c r="D136" s="39">
        <v>46477</v>
      </c>
      <c r="E136" s="39">
        <v>46843</v>
      </c>
      <c r="F136" s="39">
        <v>47208</v>
      </c>
      <c r="G136" s="39">
        <v>47573</v>
      </c>
      <c r="H136" s="39">
        <v>47938</v>
      </c>
    </row>
    <row r="137" spans="2:8" ht="15.6" x14ac:dyDescent="0.3">
      <c r="B137" s="145" t="s">
        <v>242</v>
      </c>
      <c r="C137" s="146"/>
      <c r="D137" s="147"/>
      <c r="E137" s="147"/>
      <c r="F137" s="147"/>
      <c r="G137" s="147"/>
      <c r="H137" s="147"/>
    </row>
    <row r="138" spans="2:8" ht="15.6" x14ac:dyDescent="0.3">
      <c r="B138" s="148" t="s">
        <v>243</v>
      </c>
      <c r="C138" s="149">
        <v>24285350.5</v>
      </c>
      <c r="D138" s="150">
        <f>(D36+D26)/12</f>
        <v>26436169.219778717</v>
      </c>
      <c r="E138" s="150">
        <f t="shared" ref="E138:H138" si="22">(E36+E26)/12</f>
        <v>29527539.964081753</v>
      </c>
      <c r="F138" s="150">
        <f t="shared" si="22"/>
        <v>32348576.755140394</v>
      </c>
      <c r="G138" s="150">
        <f t="shared" si="22"/>
        <v>35512364.354680143</v>
      </c>
      <c r="H138" s="150">
        <f t="shared" si="22"/>
        <v>39066295.1484643</v>
      </c>
    </row>
    <row r="139" spans="2:8" ht="15.6" x14ac:dyDescent="0.3">
      <c r="B139" s="148" t="s">
        <v>244</v>
      </c>
      <c r="C139" s="152">
        <v>45882</v>
      </c>
      <c r="D139" s="151">
        <v>1231465</v>
      </c>
      <c r="E139" s="151">
        <v>1726660.5353713436</v>
      </c>
      <c r="F139" s="151">
        <v>2821314.5330860759</v>
      </c>
      <c r="G139" s="151">
        <v>4866394.8288275134</v>
      </c>
      <c r="H139" s="151">
        <v>6082993.5360343922</v>
      </c>
    </row>
    <row r="140" spans="2:8" ht="15.6" x14ac:dyDescent="0.3">
      <c r="B140" s="153" t="s">
        <v>245</v>
      </c>
      <c r="C140" s="151"/>
      <c r="D140" s="151"/>
      <c r="E140" s="151"/>
      <c r="F140" s="151"/>
      <c r="G140" s="151"/>
      <c r="H140" s="151"/>
    </row>
    <row r="141" spans="2:8" ht="15.6" x14ac:dyDescent="0.3">
      <c r="B141" s="148" t="s">
        <v>246</v>
      </c>
      <c r="C141" s="152">
        <v>1709789</v>
      </c>
      <c r="D141" s="151">
        <f>D34/12</f>
        <v>114698</v>
      </c>
      <c r="E141" s="151">
        <f t="shared" ref="E141:H141" si="23">E34/12</f>
        <v>120432.90000000001</v>
      </c>
      <c r="F141" s="151">
        <f t="shared" si="23"/>
        <v>126454.545</v>
      </c>
      <c r="G141" s="151">
        <f t="shared" si="23"/>
        <v>132777.27225000001</v>
      </c>
      <c r="H141" s="151">
        <f t="shared" si="23"/>
        <v>139416.1358625</v>
      </c>
    </row>
    <row r="142" spans="2:8" ht="15.6" x14ac:dyDescent="0.3">
      <c r="B142" s="148" t="s">
        <v>247</v>
      </c>
      <c r="C142" s="152">
        <v>3863</v>
      </c>
      <c r="D142" s="151">
        <f>C142*125%</f>
        <v>4828.75</v>
      </c>
      <c r="E142" s="151">
        <f t="shared" ref="E142:H142" si="24">D142*125%</f>
        <v>6035.9375</v>
      </c>
      <c r="F142" s="151">
        <f t="shared" si="24"/>
        <v>7544.921875</v>
      </c>
      <c r="G142" s="151">
        <f t="shared" si="24"/>
        <v>9431.15234375</v>
      </c>
      <c r="H142" s="151">
        <f t="shared" si="24"/>
        <v>11788.9404296875</v>
      </c>
    </row>
    <row r="143" spans="2:8" ht="15.6" x14ac:dyDescent="0.3">
      <c r="B143" s="148" t="s">
        <v>248</v>
      </c>
      <c r="C143" s="152">
        <v>3361080.1799999997</v>
      </c>
      <c r="D143" s="151">
        <v>1000000</v>
      </c>
      <c r="E143" s="151">
        <v>1000000</v>
      </c>
      <c r="F143" s="151">
        <v>1000000</v>
      </c>
      <c r="G143" s="151">
        <v>1000000</v>
      </c>
      <c r="H143" s="151">
        <v>1000000</v>
      </c>
    </row>
    <row r="144" spans="2:8" ht="15.6" x14ac:dyDescent="0.3">
      <c r="B144" s="148" t="s">
        <v>249</v>
      </c>
      <c r="C144" s="152"/>
      <c r="D144" s="151"/>
      <c r="E144" s="151"/>
      <c r="F144" s="151"/>
      <c r="G144" s="151"/>
      <c r="H144" s="151"/>
    </row>
    <row r="145" spans="2:8" ht="15.6" x14ac:dyDescent="0.3">
      <c r="B145" s="148" t="s">
        <v>250</v>
      </c>
      <c r="C145" s="152">
        <v>277120</v>
      </c>
      <c r="D145" s="151">
        <v>500000</v>
      </c>
      <c r="E145" s="151">
        <v>500000</v>
      </c>
      <c r="F145" s="151">
        <v>500000</v>
      </c>
      <c r="G145" s="151">
        <v>500000</v>
      </c>
      <c r="H145" s="151">
        <v>500000</v>
      </c>
    </row>
    <row r="146" spans="2:8" ht="15.6" x14ac:dyDescent="0.3">
      <c r="B146" s="148" t="s">
        <v>251</v>
      </c>
      <c r="C146" s="154">
        <v>-31008.33</v>
      </c>
      <c r="D146" s="154">
        <v>-31008.33</v>
      </c>
      <c r="E146" s="154">
        <v>-31008.33</v>
      </c>
      <c r="F146" s="154">
        <v>-31008.33</v>
      </c>
      <c r="G146" s="154">
        <v>-31008.33</v>
      </c>
      <c r="H146" s="154">
        <v>-31008.33</v>
      </c>
    </row>
    <row r="147" spans="2:8" ht="15.6" x14ac:dyDescent="0.3">
      <c r="B147" s="148" t="s">
        <v>252</v>
      </c>
      <c r="C147" s="152">
        <v>4991548.6500000004</v>
      </c>
      <c r="D147" s="151">
        <v>1500000</v>
      </c>
      <c r="E147" s="151">
        <v>1500000</v>
      </c>
      <c r="F147" s="151">
        <v>1500000</v>
      </c>
      <c r="G147" s="151">
        <v>1500000</v>
      </c>
      <c r="H147" s="151">
        <v>1500000</v>
      </c>
    </row>
    <row r="148" spans="2:8" ht="15.6" x14ac:dyDescent="0.3">
      <c r="B148" s="153" t="s">
        <v>253</v>
      </c>
      <c r="C148" s="152"/>
      <c r="D148" s="151"/>
      <c r="E148" s="151"/>
      <c r="F148" s="151"/>
      <c r="G148" s="151"/>
      <c r="H148" s="151"/>
    </row>
    <row r="149" spans="2:8" ht="15.6" x14ac:dyDescent="0.3">
      <c r="B149" s="148" t="s">
        <v>254</v>
      </c>
      <c r="C149" s="155">
        <v>1692288.8</v>
      </c>
      <c r="D149" s="156">
        <v>2500000</v>
      </c>
      <c r="E149" s="156">
        <v>2500000</v>
      </c>
      <c r="F149" s="156">
        <v>2500000</v>
      </c>
      <c r="G149" s="156">
        <v>2500000</v>
      </c>
      <c r="H149" s="156">
        <v>2500000</v>
      </c>
    </row>
    <row r="150" spans="2:8" ht="15.6" x14ac:dyDescent="0.3">
      <c r="B150" s="148" t="s">
        <v>255</v>
      </c>
      <c r="C150" s="152">
        <v>1536728</v>
      </c>
      <c r="D150" s="151">
        <v>2000000</v>
      </c>
      <c r="E150" s="151">
        <v>2000000</v>
      </c>
      <c r="F150" s="151">
        <v>2000000</v>
      </c>
      <c r="G150" s="151">
        <v>2000000</v>
      </c>
      <c r="H150" s="151">
        <v>2000000</v>
      </c>
    </row>
    <row r="151" spans="2:8" ht="15.6" x14ac:dyDescent="0.3">
      <c r="B151" s="148" t="s">
        <v>256</v>
      </c>
      <c r="C151" s="152">
        <v>34642251</v>
      </c>
      <c r="D151" s="151">
        <v>10000000</v>
      </c>
      <c r="E151" s="151">
        <v>10000000</v>
      </c>
      <c r="F151" s="151">
        <v>10000000</v>
      </c>
      <c r="G151" s="151">
        <v>10000000</v>
      </c>
      <c r="H151" s="151">
        <v>10000000</v>
      </c>
    </row>
    <row r="152" spans="2:8" ht="15.6" x14ac:dyDescent="0.3">
      <c r="B152" s="148" t="s">
        <v>257</v>
      </c>
      <c r="C152" s="152">
        <v>6042648</v>
      </c>
      <c r="D152" s="151">
        <v>20028210</v>
      </c>
      <c r="E152" s="157">
        <f>(D152+(75*100000))</f>
        <v>27528210</v>
      </c>
      <c r="F152" s="157">
        <f t="shared" ref="F152:H152" si="25">(E152+(75*100000))</f>
        <v>35028210</v>
      </c>
      <c r="G152" s="157">
        <f t="shared" si="25"/>
        <v>42528210</v>
      </c>
      <c r="H152" s="157">
        <f t="shared" si="25"/>
        <v>50028210</v>
      </c>
    </row>
    <row r="153" spans="2:8" ht="15.6" x14ac:dyDescent="0.3">
      <c r="B153" s="148" t="s">
        <v>258</v>
      </c>
      <c r="C153" s="152">
        <v>1049924.19</v>
      </c>
      <c r="D153" s="151">
        <v>1500000</v>
      </c>
      <c r="E153" s="157">
        <f>D153*110%</f>
        <v>1650000.0000000002</v>
      </c>
      <c r="F153" s="157">
        <f t="shared" ref="F153:H153" si="26">E153*110%</f>
        <v>1815000.0000000005</v>
      </c>
      <c r="G153" s="157">
        <f t="shared" si="26"/>
        <v>1996500.0000000007</v>
      </c>
      <c r="H153" s="157">
        <f t="shared" si="26"/>
        <v>2196150.0000000009</v>
      </c>
    </row>
    <row r="154" spans="2:8" ht="15.6" x14ac:dyDescent="0.3">
      <c r="B154" s="148" t="s">
        <v>259</v>
      </c>
      <c r="C154" s="152">
        <v>150000</v>
      </c>
      <c r="D154" s="151">
        <v>250000</v>
      </c>
      <c r="E154" s="151">
        <v>250000</v>
      </c>
      <c r="F154" s="151">
        <v>500000</v>
      </c>
      <c r="G154" s="151">
        <v>500000</v>
      </c>
      <c r="H154" s="151">
        <v>500000</v>
      </c>
    </row>
    <row r="155" spans="2:8" ht="15.6" x14ac:dyDescent="0.3">
      <c r="B155" s="148" t="s">
        <v>260</v>
      </c>
      <c r="C155" s="152">
        <v>432641</v>
      </c>
      <c r="D155" s="151">
        <v>500000</v>
      </c>
      <c r="E155" s="151">
        <v>500000</v>
      </c>
      <c r="F155" s="151">
        <v>500000</v>
      </c>
      <c r="G155" s="151">
        <v>500000</v>
      </c>
      <c r="H155" s="151">
        <v>500000</v>
      </c>
    </row>
    <row r="156" spans="2:8" ht="15.6" x14ac:dyDescent="0.3">
      <c r="B156" s="148" t="s">
        <v>261</v>
      </c>
      <c r="C156" s="152">
        <v>13941420</v>
      </c>
      <c r="D156" s="151">
        <f>C156*115%</f>
        <v>16032632.999999998</v>
      </c>
      <c r="E156" s="151">
        <f t="shared" ref="E156:H156" si="27">D156*115%</f>
        <v>18437527.949999996</v>
      </c>
      <c r="F156" s="151">
        <f t="shared" si="27"/>
        <v>21203157.142499994</v>
      </c>
      <c r="G156" s="151">
        <f t="shared" si="27"/>
        <v>24383630.713874992</v>
      </c>
      <c r="H156" s="151">
        <f t="shared" si="27"/>
        <v>28041175.320956238</v>
      </c>
    </row>
    <row r="157" spans="2:8" ht="16.2" thickBot="1" x14ac:dyDescent="0.35">
      <c r="B157" s="130" t="s">
        <v>161</v>
      </c>
      <c r="C157" s="158">
        <f>SUM(C137:C156)</f>
        <v>94131525.989999995</v>
      </c>
      <c r="D157" s="158">
        <f>SUM(D137:D156)</f>
        <v>83566995.639778718</v>
      </c>
      <c r="E157" s="158">
        <f>SUM(E137:E156)</f>
        <v>97215398.956953079</v>
      </c>
      <c r="F157" s="158">
        <f t="shared" ref="F157:H157" si="28">SUM(F137:F156)</f>
        <v>111819249.56760147</v>
      </c>
      <c r="G157" s="158">
        <f t="shared" si="28"/>
        <v>127898299.99197641</v>
      </c>
      <c r="H157" s="158">
        <f t="shared" si="28"/>
        <v>144035020.7517471</v>
      </c>
    </row>
    <row r="158" spans="2:8" ht="16.2" thickTop="1" x14ac:dyDescent="0.3">
      <c r="B158" s="159"/>
      <c r="C158" s="160"/>
      <c r="D158" s="160"/>
      <c r="E158" s="160"/>
    </row>
    <row r="159" spans="2:8" ht="15.6" x14ac:dyDescent="0.3">
      <c r="B159" s="143" t="s">
        <v>313</v>
      </c>
      <c r="C159" s="144"/>
      <c r="D159" s="144"/>
      <c r="E159" s="144"/>
    </row>
    <row r="160" spans="2:8" ht="15.6" x14ac:dyDescent="0.3">
      <c r="B160" s="118" t="s">
        <v>76</v>
      </c>
      <c r="C160" s="39">
        <v>46112</v>
      </c>
      <c r="D160" s="39">
        <v>46477</v>
      </c>
      <c r="E160" s="39">
        <v>46843</v>
      </c>
      <c r="F160" s="39">
        <v>47208</v>
      </c>
      <c r="G160" s="39">
        <v>47573</v>
      </c>
      <c r="H160" s="39">
        <v>47938</v>
      </c>
    </row>
    <row r="161" spans="2:8" ht="15.6" x14ac:dyDescent="0.3">
      <c r="B161" s="145" t="s">
        <v>262</v>
      </c>
      <c r="C161" s="161"/>
      <c r="D161" s="162"/>
      <c r="E161" s="162"/>
      <c r="F161" s="162"/>
      <c r="G161" s="162"/>
      <c r="H161" s="162"/>
    </row>
    <row r="162" spans="2:8" ht="15.6" x14ac:dyDescent="0.3">
      <c r="B162" s="148" t="s">
        <v>263</v>
      </c>
      <c r="C162" s="102"/>
      <c r="D162" s="102"/>
      <c r="E162" s="102"/>
      <c r="F162" s="102"/>
      <c r="G162" s="102"/>
      <c r="H162" s="102"/>
    </row>
    <row r="163" spans="2:8" ht="15.6" x14ac:dyDescent="0.3">
      <c r="B163" s="163" t="s">
        <v>264</v>
      </c>
      <c r="C163" s="102"/>
      <c r="D163" s="102"/>
      <c r="E163" s="102"/>
      <c r="F163" s="102"/>
      <c r="G163" s="102"/>
      <c r="H163" s="102"/>
    </row>
    <row r="164" spans="2:8" ht="15.6" x14ac:dyDescent="0.3">
      <c r="B164" s="148" t="s">
        <v>265</v>
      </c>
      <c r="C164" s="164">
        <f>IS!C32</f>
        <v>53158257.733964987</v>
      </c>
      <c r="D164" s="164">
        <f>IS!D32</f>
        <v>83603871.05266121</v>
      </c>
      <c r="E164" s="164">
        <f>IS!E32</f>
        <v>125531641.97208957</v>
      </c>
      <c r="F164" s="164">
        <f>IS!F32</f>
        <v>279569265.07169026</v>
      </c>
      <c r="G164" s="164">
        <f>IS!G32</f>
        <v>694317525.71560681</v>
      </c>
      <c r="H164" s="164">
        <f>IS!H32</f>
        <v>861692839.62139308</v>
      </c>
    </row>
    <row r="165" spans="2:8" ht="15.6" x14ac:dyDescent="0.3">
      <c r="B165" s="163" t="s">
        <v>266</v>
      </c>
      <c r="C165" s="102"/>
      <c r="D165" s="102"/>
      <c r="E165" s="165"/>
      <c r="F165" s="165"/>
      <c r="G165" s="165"/>
      <c r="H165" s="165"/>
    </row>
    <row r="166" spans="2:8" ht="15.6" x14ac:dyDescent="0.3">
      <c r="B166" s="148" t="s">
        <v>267</v>
      </c>
      <c r="C166" s="102"/>
      <c r="D166" s="102"/>
      <c r="E166" s="165"/>
      <c r="F166" s="165"/>
      <c r="G166" s="165"/>
      <c r="H166" s="165"/>
    </row>
    <row r="167" spans="2:8" ht="16.2" thickBot="1" x14ac:dyDescent="0.35">
      <c r="B167" s="166" t="s">
        <v>161</v>
      </c>
      <c r="C167" s="158">
        <f>SUM(C161:C166)</f>
        <v>53158257.733964987</v>
      </c>
      <c r="D167" s="158">
        <f>SUM(D161:D166)</f>
        <v>83603871.05266121</v>
      </c>
      <c r="E167" s="158">
        <f>SUM(E161:E166)</f>
        <v>125531641.97208957</v>
      </c>
      <c r="F167" s="158">
        <f t="shared" ref="F167:H167" si="29">SUM(F161:F166)</f>
        <v>279569265.07169026</v>
      </c>
      <c r="G167" s="158">
        <f t="shared" si="29"/>
        <v>694317525.71560681</v>
      </c>
      <c r="H167" s="158">
        <f t="shared" si="29"/>
        <v>861692839.62139308</v>
      </c>
    </row>
    <row r="168" spans="2:8" ht="16.2" thickTop="1" x14ac:dyDescent="0.3">
      <c r="B168" s="159"/>
      <c r="C168" s="167"/>
      <c r="D168" s="167"/>
      <c r="E168" s="167"/>
    </row>
    <row r="169" spans="2:8" ht="15.6" x14ac:dyDescent="0.3">
      <c r="B169" s="143" t="s">
        <v>312</v>
      </c>
      <c r="C169" s="168"/>
      <c r="D169" s="168"/>
      <c r="E169" s="117"/>
    </row>
    <row r="170" spans="2:8" ht="15.6" x14ac:dyDescent="0.3">
      <c r="B170" s="169" t="s">
        <v>76</v>
      </c>
      <c r="C170" s="39">
        <v>46112</v>
      </c>
      <c r="D170" s="39">
        <v>46477</v>
      </c>
      <c r="E170" s="39">
        <v>46843</v>
      </c>
      <c r="F170" s="39">
        <v>47208</v>
      </c>
      <c r="G170" s="39">
        <v>47573</v>
      </c>
      <c r="H170" s="39">
        <v>47938</v>
      </c>
    </row>
    <row r="171" spans="2:8" ht="15.6" x14ac:dyDescent="0.3">
      <c r="B171" s="170" t="s">
        <v>268</v>
      </c>
      <c r="C171" s="171"/>
      <c r="D171" s="171"/>
      <c r="E171" s="172"/>
      <c r="F171" s="172"/>
      <c r="G171" s="172"/>
      <c r="H171" s="172"/>
    </row>
    <row r="172" spans="2:8" ht="15.6" x14ac:dyDescent="0.3">
      <c r="B172" s="173" t="s">
        <v>231</v>
      </c>
      <c r="C172" s="174">
        <v>0</v>
      </c>
      <c r="D172" s="174"/>
      <c r="E172" s="102">
        <v>0</v>
      </c>
      <c r="F172" s="102">
        <v>0</v>
      </c>
      <c r="G172" s="102">
        <v>0</v>
      </c>
      <c r="H172" s="102">
        <v>0</v>
      </c>
    </row>
    <row r="173" spans="2:8" ht="15.6" x14ac:dyDescent="0.3">
      <c r="B173" s="175" t="s">
        <v>269</v>
      </c>
      <c r="C173" s="174"/>
      <c r="D173" s="174"/>
      <c r="E173" s="176"/>
      <c r="F173" s="176"/>
      <c r="G173" s="176"/>
      <c r="H173" s="176"/>
    </row>
    <row r="174" spans="2:8" ht="15.6" x14ac:dyDescent="0.3">
      <c r="B174" s="173" t="s">
        <v>231</v>
      </c>
      <c r="C174" s="174">
        <v>0</v>
      </c>
      <c r="D174" s="174"/>
      <c r="E174" s="176">
        <v>0</v>
      </c>
      <c r="F174" s="176">
        <v>0</v>
      </c>
      <c r="G174" s="176">
        <v>0</v>
      </c>
      <c r="H174" s="176">
        <v>0</v>
      </c>
    </row>
    <row r="175" spans="2:8" ht="16.2" thickBot="1" x14ac:dyDescent="0.35">
      <c r="B175" s="177" t="s">
        <v>206</v>
      </c>
      <c r="C175" s="178">
        <f>SUM(C171:C174)</f>
        <v>0</v>
      </c>
      <c r="D175" s="178">
        <f>SUM(D171:D174)</f>
        <v>0</v>
      </c>
      <c r="E175" s="178">
        <f>SUM(E171:E174)</f>
        <v>0</v>
      </c>
      <c r="F175" s="178">
        <f t="shared" ref="F175:H175" si="30">SUM(F171:F174)</f>
        <v>0</v>
      </c>
      <c r="G175" s="178">
        <f t="shared" si="30"/>
        <v>0</v>
      </c>
      <c r="H175" s="178">
        <f t="shared" si="30"/>
        <v>0</v>
      </c>
    </row>
    <row r="176" spans="2:8" ht="16.2" thickTop="1" x14ac:dyDescent="0.3">
      <c r="B176" s="159"/>
      <c r="C176" s="179"/>
      <c r="D176" s="179"/>
      <c r="E176" s="117"/>
    </row>
    <row r="177" spans="2:8" ht="15.6" x14ac:dyDescent="0.3">
      <c r="B177" s="143" t="s">
        <v>311</v>
      </c>
      <c r="C177" s="179"/>
      <c r="D177" s="179"/>
      <c r="E177" s="117"/>
    </row>
    <row r="178" spans="2:8" ht="15.6" x14ac:dyDescent="0.3">
      <c r="B178" s="169" t="s">
        <v>76</v>
      </c>
      <c r="C178" s="39">
        <v>46112</v>
      </c>
      <c r="D178" s="39">
        <v>46477</v>
      </c>
      <c r="E178" s="39">
        <v>46843</v>
      </c>
      <c r="F178" s="39">
        <v>47208</v>
      </c>
      <c r="G178" s="39">
        <v>47573</v>
      </c>
      <c r="H178" s="39">
        <v>47938</v>
      </c>
    </row>
    <row r="179" spans="2:8" ht="15.6" x14ac:dyDescent="0.3">
      <c r="B179" s="180" t="s">
        <v>270</v>
      </c>
      <c r="C179" s="181"/>
      <c r="D179" s="181"/>
      <c r="E179" s="102"/>
      <c r="F179" s="102"/>
      <c r="G179" s="102"/>
      <c r="H179" s="102"/>
    </row>
    <row r="180" spans="2:8" ht="15.6" x14ac:dyDescent="0.3">
      <c r="B180" s="180" t="s">
        <v>271</v>
      </c>
      <c r="C180" s="182"/>
      <c r="D180" s="182"/>
      <c r="E180" s="183"/>
      <c r="F180" s="183"/>
      <c r="G180" s="183"/>
      <c r="H180" s="183"/>
    </row>
    <row r="181" spans="2:8" ht="16.2" thickBot="1" x14ac:dyDescent="0.35">
      <c r="B181" s="184" t="s">
        <v>206</v>
      </c>
      <c r="C181" s="185">
        <f>SUM(C179:C180)</f>
        <v>0</v>
      </c>
      <c r="D181" s="185">
        <f>SUM(D179:D180)</f>
        <v>0</v>
      </c>
      <c r="E181" s="186">
        <f>SUM(E179:E180)</f>
        <v>0</v>
      </c>
      <c r="F181" s="186">
        <f t="shared" ref="F181:H181" si="31">SUM(F179:F180)</f>
        <v>0</v>
      </c>
      <c r="G181" s="186">
        <f t="shared" si="31"/>
        <v>0</v>
      </c>
      <c r="H181" s="186">
        <f t="shared" si="31"/>
        <v>0</v>
      </c>
    </row>
    <row r="182" spans="2:8" ht="16.2" thickTop="1" x14ac:dyDescent="0.3">
      <c r="B182" s="187"/>
      <c r="C182" s="188"/>
      <c r="D182" s="188"/>
      <c r="E182" s="188"/>
    </row>
    <row r="183" spans="2:8" ht="15.6" x14ac:dyDescent="0.3">
      <c r="B183" s="143" t="s">
        <v>310</v>
      </c>
      <c r="C183" s="179"/>
      <c r="D183" s="179"/>
      <c r="E183" s="117"/>
    </row>
    <row r="184" spans="2:8" ht="15.6" x14ac:dyDescent="0.3">
      <c r="B184" s="169" t="s">
        <v>76</v>
      </c>
      <c r="C184" s="39">
        <v>46112</v>
      </c>
      <c r="D184" s="39">
        <v>46477</v>
      </c>
      <c r="E184" s="39">
        <v>46843</v>
      </c>
      <c r="F184" s="39">
        <v>47208</v>
      </c>
      <c r="G184" s="39">
        <v>47573</v>
      </c>
      <c r="H184" s="39">
        <v>47938</v>
      </c>
    </row>
    <row r="185" spans="2:8" ht="15.6" x14ac:dyDescent="0.3">
      <c r="B185" s="189" t="s">
        <v>272</v>
      </c>
      <c r="C185" s="190"/>
      <c r="D185" s="191"/>
      <c r="E185" s="191"/>
      <c r="F185" s="191"/>
      <c r="G185" s="191"/>
      <c r="H185" s="191"/>
    </row>
    <row r="186" spans="2:8" ht="15.6" x14ac:dyDescent="0.3">
      <c r="B186" s="192" t="s">
        <v>273</v>
      </c>
      <c r="C186" s="193">
        <v>9681091.75</v>
      </c>
      <c r="D186" s="193">
        <v>15000000</v>
      </c>
      <c r="E186" s="193">
        <v>15000000</v>
      </c>
      <c r="F186" s="193">
        <v>15000000</v>
      </c>
      <c r="G186" s="193">
        <v>15000000</v>
      </c>
      <c r="H186" s="193">
        <v>15000000</v>
      </c>
    </row>
    <row r="187" spans="2:8" ht="15.6" x14ac:dyDescent="0.3">
      <c r="B187" s="189" t="s">
        <v>274</v>
      </c>
      <c r="C187" s="193"/>
      <c r="D187" s="193"/>
      <c r="E187" s="194"/>
      <c r="F187" s="194"/>
      <c r="G187" s="194"/>
      <c r="H187" s="194"/>
    </row>
    <row r="188" spans="2:8" ht="15.6" x14ac:dyDescent="0.3">
      <c r="B188" s="192" t="s">
        <v>275</v>
      </c>
      <c r="C188" s="194">
        <v>17000</v>
      </c>
      <c r="D188" s="194">
        <v>17000</v>
      </c>
      <c r="E188" s="194">
        <v>17000</v>
      </c>
      <c r="F188" s="194">
        <v>17000</v>
      </c>
      <c r="G188" s="194">
        <v>17000</v>
      </c>
      <c r="H188" s="194">
        <v>17000</v>
      </c>
    </row>
    <row r="189" spans="2:8" ht="15.6" x14ac:dyDescent="0.3">
      <c r="B189" s="192" t="s">
        <v>276</v>
      </c>
      <c r="C189" s="193">
        <v>20326972</v>
      </c>
      <c r="D189" s="193">
        <f>(C189+(100000*3*75))</f>
        <v>42826972</v>
      </c>
      <c r="E189" s="193">
        <f t="shared" ref="E189:H189" si="32">(D189+(100000*3*75))</f>
        <v>65326972</v>
      </c>
      <c r="F189" s="193">
        <f t="shared" si="32"/>
        <v>87826972</v>
      </c>
      <c r="G189" s="193">
        <f t="shared" si="32"/>
        <v>110326972</v>
      </c>
      <c r="H189" s="193">
        <f t="shared" si="32"/>
        <v>132826972</v>
      </c>
    </row>
    <row r="190" spans="2:8" ht="15.6" x14ac:dyDescent="0.3">
      <c r="B190" s="192" t="s">
        <v>277</v>
      </c>
      <c r="C190" s="193">
        <v>57993</v>
      </c>
      <c r="D190" s="193">
        <v>57993</v>
      </c>
      <c r="E190" s="193">
        <v>57993</v>
      </c>
      <c r="F190" s="193">
        <v>57993</v>
      </c>
      <c r="G190" s="193">
        <v>57993</v>
      </c>
      <c r="H190" s="193">
        <v>57993</v>
      </c>
    </row>
    <row r="191" spans="2:8" ht="15.6" x14ac:dyDescent="0.3">
      <c r="B191" s="192" t="s">
        <v>322</v>
      </c>
      <c r="C191" s="193">
        <v>702761</v>
      </c>
      <c r="D191" s="193">
        <f>(C191+75*5000)</f>
        <v>1077761</v>
      </c>
      <c r="E191" s="193">
        <f>(D191+75*5000)</f>
        <v>1452761</v>
      </c>
      <c r="F191" s="193">
        <f>(E191+75*5000)</f>
        <v>1827761</v>
      </c>
      <c r="G191" s="193">
        <f>(F191+75*5000)</f>
        <v>2202761</v>
      </c>
      <c r="H191" s="193">
        <f>(G191+75*5000)</f>
        <v>2577761</v>
      </c>
    </row>
    <row r="192" spans="2:8" ht="15.6" x14ac:dyDescent="0.3">
      <c r="B192" s="195" t="s">
        <v>271</v>
      </c>
      <c r="C192" s="196">
        <v>3256791</v>
      </c>
      <c r="D192" s="196">
        <f>C192*105%</f>
        <v>3419630.5500000003</v>
      </c>
      <c r="E192" s="196">
        <f t="shared" ref="E192:H192" si="33">D192*105%</f>
        <v>3590612.0775000006</v>
      </c>
      <c r="F192" s="196">
        <f t="shared" si="33"/>
        <v>3770142.6813750006</v>
      </c>
      <c r="G192" s="196">
        <f t="shared" si="33"/>
        <v>3958649.8154437509</v>
      </c>
      <c r="H192" s="196">
        <f t="shared" si="33"/>
        <v>4156582.3062159386</v>
      </c>
    </row>
    <row r="193" spans="2:8" ht="16.2" thickBot="1" x14ac:dyDescent="0.35">
      <c r="B193" s="177" t="s">
        <v>206</v>
      </c>
      <c r="C193" s="197">
        <f>SUM(C186:C192)</f>
        <v>34042608.75</v>
      </c>
      <c r="D193" s="197">
        <f>SUM(D186:D192)</f>
        <v>62399356.549999997</v>
      </c>
      <c r="E193" s="198">
        <f>SUM(E186:E192)</f>
        <v>85445338.077500001</v>
      </c>
      <c r="F193" s="198">
        <f t="shared" ref="F193:H193" si="34">SUM(F186:F192)</f>
        <v>108499868.681375</v>
      </c>
      <c r="G193" s="198">
        <f t="shared" si="34"/>
        <v>131563375.81544375</v>
      </c>
      <c r="H193" s="198">
        <f t="shared" si="34"/>
        <v>154636308.30621594</v>
      </c>
    </row>
    <row r="194" spans="2:8" ht="16.2" thickTop="1" x14ac:dyDescent="0.3">
      <c r="B194" s="159"/>
      <c r="C194" s="179"/>
      <c r="D194" s="179"/>
      <c r="E194" s="117"/>
    </row>
    <row r="195" spans="2:8" ht="15.6" x14ac:dyDescent="0.3">
      <c r="B195" s="143" t="s">
        <v>309</v>
      </c>
      <c r="C195" s="168"/>
      <c r="D195" s="168"/>
      <c r="E195" s="117"/>
    </row>
    <row r="196" spans="2:8" ht="15.6" x14ac:dyDescent="0.3">
      <c r="B196" s="169" t="s">
        <v>76</v>
      </c>
      <c r="C196" s="39">
        <v>46112</v>
      </c>
      <c r="D196" s="39">
        <v>46477</v>
      </c>
      <c r="E196" s="39">
        <v>46843</v>
      </c>
      <c r="F196" s="39">
        <v>47208</v>
      </c>
      <c r="G196" s="39">
        <v>47573</v>
      </c>
      <c r="H196" s="39">
        <v>47938</v>
      </c>
    </row>
    <row r="197" spans="2:8" ht="15.6" x14ac:dyDescent="0.3">
      <c r="B197" s="180" t="s">
        <v>271</v>
      </c>
      <c r="C197" s="171">
        <v>0</v>
      </c>
      <c r="D197" s="171"/>
      <c r="E197" s="172">
        <v>0</v>
      </c>
      <c r="F197" s="172">
        <v>0</v>
      </c>
      <c r="G197" s="172">
        <v>0</v>
      </c>
      <c r="H197" s="172">
        <v>0</v>
      </c>
    </row>
    <row r="198" spans="2:8" ht="16.2" thickBot="1" x14ac:dyDescent="0.35">
      <c r="B198" s="184" t="s">
        <v>206</v>
      </c>
      <c r="C198" s="198">
        <f>SUM(C197:C197)</f>
        <v>0</v>
      </c>
      <c r="D198" s="198">
        <f>SUM(D197:D197)</f>
        <v>0</v>
      </c>
      <c r="E198" s="198">
        <f>SUM(E197:E197)</f>
        <v>0</v>
      </c>
      <c r="F198" s="198">
        <f t="shared" ref="F198:H198" si="35">SUM(F197:F197)</f>
        <v>0</v>
      </c>
      <c r="G198" s="198">
        <f t="shared" si="35"/>
        <v>0</v>
      </c>
      <c r="H198" s="198">
        <f t="shared" si="35"/>
        <v>0</v>
      </c>
    </row>
    <row r="199" spans="2:8" ht="16.2" thickTop="1" x14ac:dyDescent="0.3">
      <c r="B199" s="159"/>
      <c r="C199" s="179"/>
      <c r="D199" s="179"/>
      <c r="E199" s="117"/>
    </row>
    <row r="200" spans="2:8" ht="15.6" x14ac:dyDescent="0.3">
      <c r="B200" s="199" t="s">
        <v>308</v>
      </c>
      <c r="C200" s="200"/>
      <c r="D200" s="200"/>
      <c r="E200" s="201"/>
    </row>
    <row r="201" spans="2:8" ht="15.6" x14ac:dyDescent="0.3">
      <c r="B201" s="22" t="s">
        <v>278</v>
      </c>
      <c r="C201" s="202"/>
      <c r="D201" s="202"/>
      <c r="E201" s="144"/>
    </row>
    <row r="202" spans="2:8" ht="15.6" x14ac:dyDescent="0.3">
      <c r="B202" s="98" t="s">
        <v>76</v>
      </c>
      <c r="C202" s="39">
        <v>46112</v>
      </c>
      <c r="D202" s="39">
        <v>46477</v>
      </c>
      <c r="E202" s="39">
        <v>46843</v>
      </c>
      <c r="F202" s="39">
        <v>47208</v>
      </c>
      <c r="G202" s="39">
        <v>47573</v>
      </c>
      <c r="H202" s="39">
        <v>47938</v>
      </c>
    </row>
    <row r="203" spans="2:8" ht="15.6" x14ac:dyDescent="0.3">
      <c r="B203" s="203" t="s">
        <v>279</v>
      </c>
      <c r="C203" s="204">
        <v>635534774.88999999</v>
      </c>
      <c r="D203" s="181">
        <f>(170*3500000)+150000000</f>
        <v>745000000</v>
      </c>
      <c r="E203" s="181">
        <f>(245*3500000)+150000000</f>
        <v>1007500000</v>
      </c>
      <c r="F203" s="181">
        <f>(315*3500000)+150000000</f>
        <v>1252500000</v>
      </c>
      <c r="G203" s="181">
        <f>(385*3500000)+150000000</f>
        <v>1497500000</v>
      </c>
      <c r="H203" s="181">
        <f>(455*3500000)+150000000</f>
        <v>1742500000</v>
      </c>
    </row>
    <row r="204" spans="2:8" ht="15.6" x14ac:dyDescent="0.3">
      <c r="B204" s="180" t="s">
        <v>280</v>
      </c>
      <c r="C204" s="164">
        <v>153885380.69999999</v>
      </c>
      <c r="D204" s="181">
        <f>D24*0.16666</f>
        <v>140944168.36050606</v>
      </c>
      <c r="E204" s="181">
        <f t="shared" ref="E204:H204" si="36">E24*0.16666</f>
        <v>231254416.85849506</v>
      </c>
      <c r="F204" s="181">
        <f t="shared" si="36"/>
        <v>403685332.02577251</v>
      </c>
      <c r="G204" s="181">
        <f t="shared" si="36"/>
        <v>639799379.57042933</v>
      </c>
      <c r="H204" s="181">
        <f t="shared" si="36"/>
        <v>829676472.46814764</v>
      </c>
    </row>
    <row r="205" spans="2:8" ht="15.6" x14ac:dyDescent="0.3">
      <c r="B205" s="180" t="s">
        <v>281</v>
      </c>
      <c r="C205" s="164">
        <v>3116319.46</v>
      </c>
      <c r="D205" s="181">
        <v>5000000</v>
      </c>
      <c r="E205" s="181">
        <v>5000000</v>
      </c>
      <c r="F205" s="181">
        <v>5000000</v>
      </c>
      <c r="G205" s="181">
        <v>5000000</v>
      </c>
      <c r="H205" s="181">
        <v>5000000</v>
      </c>
    </row>
    <row r="206" spans="2:8" ht="15.6" x14ac:dyDescent="0.3">
      <c r="B206" s="180" t="s">
        <v>282</v>
      </c>
      <c r="C206" s="164"/>
      <c r="D206" s="181"/>
      <c r="E206" s="205"/>
      <c r="F206" s="205"/>
      <c r="G206" s="205"/>
      <c r="H206" s="205"/>
    </row>
    <row r="207" spans="2:8" ht="16.2" thickBot="1" x14ac:dyDescent="0.35">
      <c r="B207" s="166" t="s">
        <v>161</v>
      </c>
      <c r="C207" s="206">
        <f>SUM(C203:C206)</f>
        <v>792536475.04999995</v>
      </c>
      <c r="D207" s="206">
        <f>SUM(D203:D206)</f>
        <v>890944168.36050606</v>
      </c>
      <c r="E207" s="206">
        <f>SUM(E203:E206)</f>
        <v>1243754416.858495</v>
      </c>
      <c r="F207" s="206">
        <f t="shared" ref="F207:H207" si="37">SUM(F203:F206)</f>
        <v>1661185332.0257726</v>
      </c>
      <c r="G207" s="206">
        <f t="shared" si="37"/>
        <v>2142299379.5704293</v>
      </c>
      <c r="H207" s="206">
        <f t="shared" si="37"/>
        <v>2577176472.4681478</v>
      </c>
    </row>
    <row r="208" spans="2:8" ht="16.2" thickTop="1" x14ac:dyDescent="0.3">
      <c r="B208" s="159"/>
      <c r="C208" s="221"/>
      <c r="D208" s="167"/>
      <c r="E208" s="167"/>
    </row>
    <row r="209" spans="2:8" ht="15.6" x14ac:dyDescent="0.3">
      <c r="B209" s="199" t="s">
        <v>307</v>
      </c>
      <c r="C209" s="200"/>
      <c r="D209" s="200"/>
      <c r="E209" s="167"/>
    </row>
    <row r="210" spans="2:8" ht="15.6" x14ac:dyDescent="0.3">
      <c r="B210" s="98" t="s">
        <v>76</v>
      </c>
      <c r="C210" s="39">
        <v>46112</v>
      </c>
      <c r="D210" s="39">
        <v>46477</v>
      </c>
      <c r="E210" s="39">
        <v>46843</v>
      </c>
      <c r="F210" s="39">
        <v>47208</v>
      </c>
      <c r="G210" s="39">
        <v>47573</v>
      </c>
      <c r="H210" s="39">
        <v>47938</v>
      </c>
    </row>
    <row r="211" spans="2:8" ht="15.6" x14ac:dyDescent="0.3">
      <c r="B211" s="207" t="s">
        <v>283</v>
      </c>
      <c r="C211" s="204"/>
      <c r="D211" s="181"/>
      <c r="E211" s="181"/>
      <c r="F211" s="181"/>
      <c r="G211" s="181"/>
      <c r="H211" s="181"/>
    </row>
    <row r="212" spans="2:8" ht="15.6" x14ac:dyDescent="0.3">
      <c r="B212" s="148" t="s">
        <v>284</v>
      </c>
      <c r="C212" s="181">
        <v>4571731.66</v>
      </c>
      <c r="D212" s="181">
        <f>(170*20000)+500000</f>
        <v>3900000</v>
      </c>
      <c r="E212" s="181">
        <f>(245*20000)+500000</f>
        <v>5400000</v>
      </c>
      <c r="F212" s="181">
        <f>(315*20000)+500000</f>
        <v>6800000</v>
      </c>
      <c r="G212" s="181">
        <f>(385*20000)+500000</f>
        <v>8200000</v>
      </c>
      <c r="H212" s="181">
        <f>(455*20000)+500000</f>
        <v>9600000</v>
      </c>
    </row>
    <row r="213" spans="2:8" ht="15.6" x14ac:dyDescent="0.3">
      <c r="B213" s="148" t="s">
        <v>285</v>
      </c>
      <c r="C213" s="164"/>
      <c r="D213" s="181"/>
      <c r="E213" s="181"/>
      <c r="F213" s="181"/>
      <c r="G213" s="181"/>
      <c r="H213" s="181"/>
    </row>
    <row r="214" spans="2:8" ht="15.6" x14ac:dyDescent="0.3">
      <c r="B214" s="189" t="s">
        <v>286</v>
      </c>
      <c r="C214" s="164"/>
      <c r="D214" s="181"/>
      <c r="E214" s="181"/>
      <c r="F214" s="181"/>
      <c r="G214" s="181"/>
      <c r="H214" s="181"/>
    </row>
    <row r="215" spans="2:8" ht="15.6" x14ac:dyDescent="0.3">
      <c r="B215" s="148" t="s">
        <v>287</v>
      </c>
      <c r="C215" s="164">
        <v>697794.55</v>
      </c>
      <c r="D215" s="181">
        <f>376907230.057284-150000000</f>
        <v>226907230.057284</v>
      </c>
      <c r="E215" s="181">
        <f>321233537.880592-150000000</f>
        <v>171233537.88059199</v>
      </c>
      <c r="F215" s="181">
        <f>734754282.259857-150000000</f>
        <v>584754282.25985706</v>
      </c>
      <c r="G215" s="181">
        <f>2549148450.69486-150000000</f>
        <v>2399148450.69486</v>
      </c>
      <c r="H215" s="181">
        <f>4746910881.41305-150000000</f>
        <v>4596910881.4130497</v>
      </c>
    </row>
    <row r="216" spans="2:8" ht="15.6" x14ac:dyDescent="0.3">
      <c r="B216" s="148" t="s">
        <v>288</v>
      </c>
      <c r="C216" s="208">
        <v>866822</v>
      </c>
      <c r="D216" s="181">
        <f>(C216+(40000*12))</f>
        <v>1346822</v>
      </c>
      <c r="E216" s="181">
        <f t="shared" ref="E216:H216" si="38">(D216+(40000*12))</f>
        <v>1826822</v>
      </c>
      <c r="F216" s="181">
        <f t="shared" si="38"/>
        <v>2306822</v>
      </c>
      <c r="G216" s="181">
        <f t="shared" si="38"/>
        <v>2786822</v>
      </c>
      <c r="H216" s="181">
        <f t="shared" si="38"/>
        <v>3266822</v>
      </c>
    </row>
    <row r="217" spans="2:8" ht="16.2" thickBot="1" x14ac:dyDescent="0.35">
      <c r="B217" s="166" t="s">
        <v>206</v>
      </c>
      <c r="C217" s="206">
        <f>SUM(C211:C216)</f>
        <v>6136348.21</v>
      </c>
      <c r="D217" s="206">
        <f>SUM(D211:D216)</f>
        <v>232154052.057284</v>
      </c>
      <c r="E217" s="206">
        <f>SUM(E211:E216)</f>
        <v>178460359.88059199</v>
      </c>
      <c r="F217" s="206">
        <f t="shared" ref="F217:H217" si="39">SUM(F211:F216)</f>
        <v>593861104.25985706</v>
      </c>
      <c r="G217" s="206">
        <f t="shared" si="39"/>
        <v>2410135272.69486</v>
      </c>
      <c r="H217" s="206">
        <f t="shared" si="39"/>
        <v>4609777703.4130497</v>
      </c>
    </row>
    <row r="218" spans="2:8" ht="16.2" thickTop="1" x14ac:dyDescent="0.3">
      <c r="B218" s="159"/>
      <c r="C218" s="167"/>
      <c r="D218" s="167"/>
      <c r="E218" s="167"/>
    </row>
    <row r="219" spans="2:8" ht="15.6" x14ac:dyDescent="0.3">
      <c r="B219" s="199" t="s">
        <v>306</v>
      </c>
      <c r="C219" s="200"/>
      <c r="D219" s="200"/>
      <c r="E219" s="167"/>
    </row>
    <row r="220" spans="2:8" ht="15.6" x14ac:dyDescent="0.3">
      <c r="B220" s="169" t="s">
        <v>76</v>
      </c>
      <c r="C220" s="39">
        <v>46112</v>
      </c>
      <c r="D220" s="39">
        <v>46477</v>
      </c>
      <c r="E220" s="39">
        <v>46843</v>
      </c>
      <c r="F220" s="39">
        <v>47208</v>
      </c>
      <c r="G220" s="39">
        <v>47573</v>
      </c>
      <c r="H220" s="39">
        <v>47938</v>
      </c>
    </row>
    <row r="221" spans="2:8" ht="15.6" x14ac:dyDescent="0.3">
      <c r="B221" s="209" t="s">
        <v>289</v>
      </c>
      <c r="C221" s="191"/>
      <c r="D221" s="191"/>
      <c r="E221" s="191"/>
      <c r="F221" s="191"/>
      <c r="G221" s="191"/>
      <c r="H221" s="191"/>
    </row>
    <row r="222" spans="2:8" ht="15.6" x14ac:dyDescent="0.3">
      <c r="B222" s="210" t="s">
        <v>290</v>
      </c>
      <c r="C222" s="211">
        <v>20687497.129999999</v>
      </c>
      <c r="D222" s="211">
        <f>C222*105%</f>
        <v>21721871.986499999</v>
      </c>
      <c r="E222" s="211">
        <f t="shared" ref="E222:H222" si="40">D222*105%</f>
        <v>22807965.585825</v>
      </c>
      <c r="F222" s="211">
        <f t="shared" si="40"/>
        <v>23948363.86511625</v>
      </c>
      <c r="G222" s="211">
        <f t="shared" si="40"/>
        <v>25145782.058372062</v>
      </c>
      <c r="H222" s="211">
        <f t="shared" si="40"/>
        <v>26403071.161290664</v>
      </c>
    </row>
    <row r="223" spans="2:8" ht="15.6" x14ac:dyDescent="0.3">
      <c r="B223" s="210" t="s">
        <v>291</v>
      </c>
      <c r="C223" s="211">
        <v>369124.65</v>
      </c>
      <c r="D223" s="211">
        <v>500000</v>
      </c>
      <c r="E223" s="211">
        <v>500000</v>
      </c>
      <c r="F223" s="211">
        <v>500000</v>
      </c>
      <c r="G223" s="211">
        <v>500000</v>
      </c>
      <c r="H223" s="211">
        <v>500000</v>
      </c>
    </row>
    <row r="224" spans="2:8" ht="15.6" x14ac:dyDescent="0.3">
      <c r="B224" s="209" t="s">
        <v>292</v>
      </c>
      <c r="C224" s="211"/>
      <c r="D224" s="211"/>
      <c r="E224" s="191"/>
      <c r="F224" s="191"/>
      <c r="G224" s="191"/>
      <c r="H224" s="191"/>
    </row>
    <row r="225" spans="2:8" ht="15.6" x14ac:dyDescent="0.3">
      <c r="B225" s="212" t="s">
        <v>293</v>
      </c>
      <c r="C225" s="164">
        <v>300000</v>
      </c>
      <c r="D225" s="164">
        <f>(C225+3000000*12)</f>
        <v>36300000</v>
      </c>
      <c r="E225" s="164">
        <f t="shared" ref="E225:H225" si="41">(D225+3000000*12)</f>
        <v>72300000</v>
      </c>
      <c r="F225" s="164">
        <f t="shared" si="41"/>
        <v>108300000</v>
      </c>
      <c r="G225" s="164">
        <f t="shared" si="41"/>
        <v>144300000</v>
      </c>
      <c r="H225" s="164">
        <f t="shared" si="41"/>
        <v>180300000</v>
      </c>
    </row>
    <row r="226" spans="2:8" ht="15.6" x14ac:dyDescent="0.3">
      <c r="B226" s="212" t="s">
        <v>294</v>
      </c>
      <c r="C226" s="164"/>
      <c r="D226" s="164"/>
      <c r="E226" s="102"/>
      <c r="F226" s="102"/>
      <c r="G226" s="102"/>
      <c r="H226" s="102"/>
    </row>
    <row r="227" spans="2:8" ht="15.6" x14ac:dyDescent="0.3">
      <c r="B227" s="212" t="s">
        <v>295</v>
      </c>
      <c r="C227" s="164">
        <v>643391.44999999995</v>
      </c>
      <c r="D227" s="164">
        <v>150000</v>
      </c>
      <c r="E227" s="164">
        <v>150000</v>
      </c>
      <c r="F227" s="164">
        <v>150000</v>
      </c>
      <c r="G227" s="164">
        <v>150000</v>
      </c>
      <c r="H227" s="164">
        <v>150000</v>
      </c>
    </row>
    <row r="228" spans="2:8" ht="15.6" x14ac:dyDescent="0.3">
      <c r="B228" s="212" t="s">
        <v>296</v>
      </c>
      <c r="C228" s="164">
        <v>7055833.1199999992</v>
      </c>
      <c r="D228" s="164">
        <f>C228*125%</f>
        <v>8819791.3999999985</v>
      </c>
      <c r="E228" s="164">
        <f t="shared" ref="E228:H228" si="42">D228*125%</f>
        <v>11024739.249999998</v>
      </c>
      <c r="F228" s="164">
        <f t="shared" si="42"/>
        <v>13780924.062499998</v>
      </c>
      <c r="G228" s="164">
        <f t="shared" si="42"/>
        <v>17226155.078124996</v>
      </c>
      <c r="H228" s="164">
        <f t="shared" si="42"/>
        <v>21532693.847656246</v>
      </c>
    </row>
    <row r="229" spans="2:8" ht="15.6" x14ac:dyDescent="0.3">
      <c r="B229" s="212" t="s">
        <v>297</v>
      </c>
      <c r="C229" s="164">
        <v>1720946.65</v>
      </c>
      <c r="D229" s="164">
        <f>C229*110%</f>
        <v>1893041.3149999999</v>
      </c>
      <c r="E229" s="164">
        <f t="shared" ref="E229:H229" si="43">D229*110%</f>
        <v>2082345.4465000001</v>
      </c>
      <c r="F229" s="164">
        <f t="shared" si="43"/>
        <v>2290579.9911500001</v>
      </c>
      <c r="G229" s="164">
        <f t="shared" si="43"/>
        <v>2519637.9902650001</v>
      </c>
      <c r="H229" s="164">
        <f t="shared" si="43"/>
        <v>2771601.7892915006</v>
      </c>
    </row>
    <row r="230" spans="2:8" ht="15.6" x14ac:dyDescent="0.3">
      <c r="B230" s="212" t="s">
        <v>298</v>
      </c>
      <c r="C230" s="102">
        <v>65841962.040000021</v>
      </c>
      <c r="D230" s="102"/>
      <c r="E230" s="102"/>
      <c r="F230" s="102"/>
      <c r="G230" s="102"/>
      <c r="H230" s="102"/>
    </row>
    <row r="231" spans="2:8" ht="16.2" thickBot="1" x14ac:dyDescent="0.35">
      <c r="B231" s="213" t="s">
        <v>161</v>
      </c>
      <c r="C231" s="115">
        <f>SUM(C221:C230)</f>
        <v>96618755.040000021</v>
      </c>
      <c r="D231" s="115">
        <f>SUM(D221:D230)</f>
        <v>69384704.701499999</v>
      </c>
      <c r="E231" s="115">
        <f>SUM(E221:E230)</f>
        <v>108865050.282325</v>
      </c>
      <c r="F231" s="115">
        <f t="shared" ref="F231:H231" si="44">SUM(F221:F230)</f>
        <v>148969867.91876623</v>
      </c>
      <c r="G231" s="115">
        <f t="shared" si="44"/>
        <v>189841575.12676206</v>
      </c>
      <c r="H231" s="115">
        <f t="shared" si="44"/>
        <v>231657366.79823843</v>
      </c>
    </row>
    <row r="232" spans="2:8" ht="16.2" thickTop="1" x14ac:dyDescent="0.3">
      <c r="B232" s="214"/>
      <c r="C232" s="215"/>
      <c r="D232" s="215"/>
      <c r="E232" s="126"/>
    </row>
    <row r="233" spans="2:8" ht="15.6" x14ac:dyDescent="0.3">
      <c r="B233" s="116" t="s">
        <v>305</v>
      </c>
      <c r="C233" s="167"/>
      <c r="D233" s="167"/>
      <c r="E233" s="167"/>
    </row>
    <row r="234" spans="2:8" ht="15.6" x14ac:dyDescent="0.3">
      <c r="B234" s="98" t="s">
        <v>76</v>
      </c>
      <c r="C234" s="39">
        <v>46112</v>
      </c>
      <c r="D234" s="39">
        <v>46477</v>
      </c>
      <c r="E234" s="39">
        <v>46843</v>
      </c>
      <c r="F234" s="39">
        <v>47208</v>
      </c>
      <c r="G234" s="39">
        <v>47573</v>
      </c>
      <c r="H234" s="39">
        <v>47938</v>
      </c>
    </row>
    <row r="235" spans="2:8" ht="15.6" x14ac:dyDescent="0.3">
      <c r="B235" s="216" t="s">
        <v>299</v>
      </c>
      <c r="C235" s="171">
        <v>62500</v>
      </c>
      <c r="D235" s="171">
        <v>62500</v>
      </c>
      <c r="E235" s="171">
        <v>62500</v>
      </c>
      <c r="F235" s="171">
        <v>62500</v>
      </c>
      <c r="G235" s="171">
        <v>62500</v>
      </c>
      <c r="H235" s="171">
        <v>62500</v>
      </c>
    </row>
    <row r="236" spans="2:8" ht="15.6" x14ac:dyDescent="0.3">
      <c r="B236" s="180" t="s">
        <v>300</v>
      </c>
      <c r="C236" s="193">
        <v>228746544.45642233</v>
      </c>
      <c r="D236" s="193">
        <v>100000000</v>
      </c>
      <c r="E236" s="193">
        <v>100000000</v>
      </c>
      <c r="F236" s="193">
        <v>100000000</v>
      </c>
      <c r="G236" s="193">
        <v>100000000</v>
      </c>
      <c r="H236" s="193">
        <v>100000000</v>
      </c>
    </row>
    <row r="237" spans="2:8" ht="16.2" thickBot="1" x14ac:dyDescent="0.35">
      <c r="B237" s="213" t="s">
        <v>206</v>
      </c>
      <c r="C237" s="217">
        <f t="shared" ref="C237:H237" si="45">SUM(C235:C236)</f>
        <v>228809044.45642233</v>
      </c>
      <c r="D237" s="217">
        <f t="shared" si="45"/>
        <v>100062500</v>
      </c>
      <c r="E237" s="217">
        <f t="shared" si="45"/>
        <v>100062500</v>
      </c>
      <c r="F237" s="217">
        <f t="shared" si="45"/>
        <v>100062500</v>
      </c>
      <c r="G237" s="217">
        <f t="shared" si="45"/>
        <v>100062500</v>
      </c>
      <c r="H237" s="217">
        <f t="shared" si="45"/>
        <v>100062500</v>
      </c>
    </row>
    <row r="238" spans="2:8" ht="15" thickTop="1" x14ac:dyDescent="0.3">
      <c r="C238" s="9"/>
    </row>
  </sheetData>
  <mergeCells count="2">
    <mergeCell ref="B2:H2"/>
    <mergeCell ref="B75:E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5"/>
  <sheetViews>
    <sheetView topLeftCell="A54" workbookViewId="0">
      <selection activeCell="C75" sqref="C75"/>
    </sheetView>
  </sheetViews>
  <sheetFormatPr defaultRowHeight="14.4" x14ac:dyDescent="0.3"/>
  <cols>
    <col min="1" max="1" width="1.88671875" customWidth="1"/>
    <col min="2" max="2" width="19.109375" customWidth="1"/>
    <col min="3" max="3" width="14.88671875" bestFit="1" customWidth="1"/>
    <col min="4" max="6" width="13.88671875" bestFit="1" customWidth="1"/>
    <col min="7" max="7" width="15" bestFit="1" customWidth="1"/>
  </cols>
  <sheetData>
    <row r="2" spans="2:7" x14ac:dyDescent="0.3">
      <c r="B2" s="2" t="s">
        <v>3</v>
      </c>
    </row>
    <row r="3" spans="2:7" x14ac:dyDescent="0.3">
      <c r="B3" t="s">
        <v>0</v>
      </c>
      <c r="C3" t="s">
        <v>1</v>
      </c>
    </row>
    <row r="4" spans="2:7" x14ac:dyDescent="0.3">
      <c r="B4" t="s">
        <v>2</v>
      </c>
      <c r="C4" s="1">
        <v>0.12</v>
      </c>
    </row>
    <row r="5" spans="2:7" x14ac:dyDescent="0.3">
      <c r="B5" t="s">
        <v>4</v>
      </c>
      <c r="C5" s="3">
        <v>50000000</v>
      </c>
    </row>
    <row r="7" spans="2:7" x14ac:dyDescent="0.3">
      <c r="B7" t="s">
        <v>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</row>
    <row r="8" spans="2:7" x14ac:dyDescent="0.3">
      <c r="B8" t="s">
        <v>6</v>
      </c>
      <c r="C8" s="5">
        <v>612222</v>
      </c>
      <c r="D8" s="5">
        <v>500000</v>
      </c>
      <c r="E8" s="5">
        <v>1112222</v>
      </c>
      <c r="F8" s="5">
        <v>49387778</v>
      </c>
    </row>
    <row r="9" spans="2:7" x14ac:dyDescent="0.3">
      <c r="B9" t="s">
        <v>7</v>
      </c>
      <c r="C9" s="5">
        <v>618345</v>
      </c>
      <c r="D9" s="5">
        <v>493878</v>
      </c>
      <c r="E9" s="5">
        <v>1112222</v>
      </c>
      <c r="F9" s="5">
        <v>48769433</v>
      </c>
    </row>
    <row r="10" spans="2:7" x14ac:dyDescent="0.3">
      <c r="B10" t="s">
        <v>8</v>
      </c>
      <c r="C10" s="5">
        <v>624528</v>
      </c>
      <c r="D10" s="5">
        <v>487694</v>
      </c>
      <c r="E10" s="5">
        <v>1112222</v>
      </c>
      <c r="F10" s="5">
        <v>48144905</v>
      </c>
    </row>
    <row r="11" spans="2:7" x14ac:dyDescent="0.3">
      <c r="B11" t="s">
        <v>9</v>
      </c>
      <c r="C11" s="5">
        <v>630773</v>
      </c>
      <c r="D11" s="5">
        <v>481449</v>
      </c>
      <c r="E11" s="5">
        <v>1112222</v>
      </c>
      <c r="F11" s="5">
        <v>47514132</v>
      </c>
    </row>
    <row r="12" spans="2:7" x14ac:dyDescent="0.3">
      <c r="B12" t="s">
        <v>10</v>
      </c>
      <c r="C12" s="5">
        <v>637081</v>
      </c>
      <c r="D12" s="5">
        <v>475141</v>
      </c>
      <c r="E12" s="5">
        <v>1112222</v>
      </c>
      <c r="F12" s="5">
        <v>46877051</v>
      </c>
    </row>
    <row r="13" spans="2:7" x14ac:dyDescent="0.3">
      <c r="B13" t="s">
        <v>11</v>
      </c>
      <c r="C13" s="5">
        <v>643452</v>
      </c>
      <c r="D13" s="5">
        <v>468771</v>
      </c>
      <c r="E13" s="5">
        <v>1112222</v>
      </c>
      <c r="F13" s="5">
        <v>46233599</v>
      </c>
    </row>
    <row r="14" spans="2:7" x14ac:dyDescent="0.3">
      <c r="B14" t="s">
        <v>12</v>
      </c>
      <c r="C14" s="5">
        <v>649886</v>
      </c>
      <c r="D14" s="5">
        <v>462336</v>
      </c>
      <c r="E14" s="5">
        <v>1112222</v>
      </c>
      <c r="F14" s="5">
        <v>45583712</v>
      </c>
    </row>
    <row r="15" spans="2:7" x14ac:dyDescent="0.3">
      <c r="B15" t="s">
        <v>13</v>
      </c>
      <c r="C15" s="5">
        <v>656385</v>
      </c>
      <c r="D15" s="5">
        <v>455837</v>
      </c>
      <c r="E15" s="5">
        <v>1112222</v>
      </c>
      <c r="F15" s="5">
        <v>44927327</v>
      </c>
    </row>
    <row r="16" spans="2:7" x14ac:dyDescent="0.3">
      <c r="B16" t="s">
        <v>14</v>
      </c>
      <c r="C16" s="5">
        <v>662949</v>
      </c>
      <c r="D16" s="5">
        <v>449273</v>
      </c>
      <c r="E16" s="5">
        <v>1112222</v>
      </c>
      <c r="F16" s="5">
        <v>44264378</v>
      </c>
    </row>
    <row r="17" spans="2:7" x14ac:dyDescent="0.3">
      <c r="B17" t="s">
        <v>15</v>
      </c>
      <c r="C17" s="5">
        <v>669579</v>
      </c>
      <c r="D17" s="5">
        <v>442644</v>
      </c>
      <c r="E17" s="5">
        <v>1112222</v>
      </c>
      <c r="F17" s="5">
        <v>43594799</v>
      </c>
    </row>
    <row r="18" spans="2:7" x14ac:dyDescent="0.3">
      <c r="B18" s="6" t="s">
        <v>16</v>
      </c>
      <c r="C18" s="7">
        <v>676274</v>
      </c>
      <c r="D18" s="7">
        <v>435948</v>
      </c>
      <c r="E18" s="7">
        <v>1112222</v>
      </c>
      <c r="F18" s="7">
        <v>42918525</v>
      </c>
      <c r="G18" s="8">
        <f>SUM(D8:D18)</f>
        <v>5152971</v>
      </c>
    </row>
    <row r="19" spans="2:7" x14ac:dyDescent="0.3">
      <c r="B19" t="s">
        <v>17</v>
      </c>
      <c r="C19" s="5">
        <v>683037</v>
      </c>
      <c r="D19" s="5">
        <v>429185</v>
      </c>
      <c r="E19" s="5">
        <v>1112222</v>
      </c>
      <c r="F19" s="5">
        <v>42235488</v>
      </c>
    </row>
    <row r="20" spans="2:7" x14ac:dyDescent="0.3">
      <c r="B20" t="s">
        <v>18</v>
      </c>
      <c r="C20" s="5">
        <v>689868</v>
      </c>
      <c r="D20" s="5">
        <v>422355</v>
      </c>
      <c r="E20" s="5">
        <v>1112222</v>
      </c>
      <c r="F20" s="5">
        <v>41545620</v>
      </c>
    </row>
    <row r="21" spans="2:7" x14ac:dyDescent="0.3">
      <c r="B21" t="s">
        <v>19</v>
      </c>
      <c r="C21" s="5">
        <v>696766</v>
      </c>
      <c r="D21" s="5">
        <v>415456</v>
      </c>
      <c r="E21" s="5">
        <v>1112222</v>
      </c>
      <c r="F21" s="5">
        <v>40848854</v>
      </c>
    </row>
    <row r="22" spans="2:7" x14ac:dyDescent="0.3">
      <c r="B22" t="s">
        <v>20</v>
      </c>
      <c r="C22" s="5">
        <v>703734</v>
      </c>
      <c r="D22" s="5">
        <v>408489</v>
      </c>
      <c r="E22" s="5">
        <v>1112222</v>
      </c>
      <c r="F22" s="5">
        <v>40145120</v>
      </c>
    </row>
    <row r="23" spans="2:7" x14ac:dyDescent="0.3">
      <c r="B23" t="s">
        <v>21</v>
      </c>
      <c r="C23" s="5">
        <v>710771</v>
      </c>
      <c r="D23" s="5">
        <v>401451</v>
      </c>
      <c r="E23" s="5">
        <v>1112222</v>
      </c>
      <c r="F23" s="5">
        <v>39434349</v>
      </c>
    </row>
    <row r="24" spans="2:7" x14ac:dyDescent="0.3">
      <c r="B24" t="s">
        <v>22</v>
      </c>
      <c r="C24" s="5">
        <v>717879</v>
      </c>
      <c r="D24" s="5">
        <v>394343</v>
      </c>
      <c r="E24" s="5">
        <v>1112222</v>
      </c>
      <c r="F24" s="5">
        <v>38716470</v>
      </c>
    </row>
    <row r="25" spans="2:7" x14ac:dyDescent="0.3">
      <c r="B25" t="s">
        <v>23</v>
      </c>
      <c r="C25" s="5">
        <v>725058</v>
      </c>
      <c r="D25" s="5">
        <v>387165</v>
      </c>
      <c r="E25" s="5">
        <v>1112222</v>
      </c>
      <c r="F25" s="5">
        <v>37991412</v>
      </c>
    </row>
    <row r="26" spans="2:7" x14ac:dyDescent="0.3">
      <c r="B26" t="s">
        <v>24</v>
      </c>
      <c r="C26" s="5">
        <v>732308</v>
      </c>
      <c r="D26" s="5">
        <v>379914</v>
      </c>
      <c r="E26" s="5">
        <v>1112222</v>
      </c>
      <c r="F26" s="5">
        <v>37259104</v>
      </c>
    </row>
    <row r="27" spans="2:7" x14ac:dyDescent="0.3">
      <c r="B27" t="s">
        <v>25</v>
      </c>
      <c r="C27" s="5">
        <v>739631</v>
      </c>
      <c r="D27" s="5">
        <v>372591</v>
      </c>
      <c r="E27" s="5">
        <v>1112222</v>
      </c>
      <c r="F27" s="5">
        <v>36519473</v>
      </c>
    </row>
    <row r="28" spans="2:7" x14ac:dyDescent="0.3">
      <c r="B28" t="s">
        <v>26</v>
      </c>
      <c r="C28" s="5">
        <v>747028</v>
      </c>
      <c r="D28" s="5">
        <v>365195</v>
      </c>
      <c r="E28" s="5">
        <v>1112222</v>
      </c>
      <c r="F28" s="5">
        <v>35772445</v>
      </c>
    </row>
    <row r="29" spans="2:7" x14ac:dyDescent="0.3">
      <c r="B29" t="s">
        <v>27</v>
      </c>
      <c r="C29" s="5">
        <v>754498</v>
      </c>
      <c r="D29" s="5">
        <v>357724</v>
      </c>
      <c r="E29" s="5">
        <v>1112222</v>
      </c>
      <c r="F29" s="5">
        <v>35017947</v>
      </c>
    </row>
    <row r="30" spans="2:7" x14ac:dyDescent="0.3">
      <c r="B30" s="6" t="s">
        <v>28</v>
      </c>
      <c r="C30" s="7">
        <v>762043</v>
      </c>
      <c r="D30" s="7">
        <v>350179</v>
      </c>
      <c r="E30" s="7">
        <v>1112222</v>
      </c>
      <c r="F30" s="7">
        <v>34255904</v>
      </c>
      <c r="G30" s="9">
        <f>SUM(D19:D30)</f>
        <v>4684047</v>
      </c>
    </row>
    <row r="31" spans="2:7" x14ac:dyDescent="0.3">
      <c r="B31" t="s">
        <v>29</v>
      </c>
      <c r="C31" s="5">
        <v>769663</v>
      </c>
      <c r="D31" s="5">
        <v>342559</v>
      </c>
      <c r="E31" s="5">
        <v>1112222</v>
      </c>
      <c r="F31" s="5">
        <v>33486241</v>
      </c>
    </row>
    <row r="32" spans="2:7" x14ac:dyDescent="0.3">
      <c r="B32" t="s">
        <v>30</v>
      </c>
      <c r="C32" s="5">
        <v>777360</v>
      </c>
      <c r="D32" s="5">
        <v>334862</v>
      </c>
      <c r="E32" s="5">
        <v>1112222</v>
      </c>
      <c r="F32" s="5">
        <v>32708881</v>
      </c>
    </row>
    <row r="33" spans="2:7" x14ac:dyDescent="0.3">
      <c r="B33" t="s">
        <v>31</v>
      </c>
      <c r="C33" s="5">
        <v>785134</v>
      </c>
      <c r="D33" s="5">
        <v>327089</v>
      </c>
      <c r="E33" s="5">
        <v>1112222</v>
      </c>
      <c r="F33" s="5">
        <v>31923747</v>
      </c>
    </row>
    <row r="34" spans="2:7" x14ac:dyDescent="0.3">
      <c r="B34" t="s">
        <v>32</v>
      </c>
      <c r="C34" s="5">
        <v>792985</v>
      </c>
      <c r="D34" s="5">
        <v>319237</v>
      </c>
      <c r="E34" s="5">
        <v>1112222</v>
      </c>
      <c r="F34" s="5">
        <v>31130763</v>
      </c>
    </row>
    <row r="35" spans="2:7" x14ac:dyDescent="0.3">
      <c r="B35" t="s">
        <v>33</v>
      </c>
      <c r="C35" s="5">
        <v>800915</v>
      </c>
      <c r="D35" s="5">
        <v>311308</v>
      </c>
      <c r="E35" s="5">
        <v>1112222</v>
      </c>
      <c r="F35" s="5">
        <v>30329848</v>
      </c>
    </row>
    <row r="36" spans="2:7" x14ac:dyDescent="0.3">
      <c r="B36" t="s">
        <v>34</v>
      </c>
      <c r="C36" s="5">
        <v>808924</v>
      </c>
      <c r="D36" s="5">
        <v>303298</v>
      </c>
      <c r="E36" s="5">
        <v>1112222</v>
      </c>
      <c r="F36" s="5">
        <v>29520924</v>
      </c>
    </row>
    <row r="37" spans="2:7" x14ac:dyDescent="0.3">
      <c r="B37" t="s">
        <v>35</v>
      </c>
      <c r="C37" s="5">
        <v>817013</v>
      </c>
      <c r="D37" s="5">
        <v>295209</v>
      </c>
      <c r="E37" s="5">
        <v>1112222</v>
      </c>
      <c r="F37" s="5">
        <v>28703911</v>
      </c>
    </row>
    <row r="38" spans="2:7" x14ac:dyDescent="0.3">
      <c r="B38" t="s">
        <v>36</v>
      </c>
      <c r="C38" s="5">
        <v>825183</v>
      </c>
      <c r="D38" s="5">
        <v>287039</v>
      </c>
      <c r="E38" s="5">
        <v>1112222</v>
      </c>
      <c r="F38" s="5">
        <v>27878727</v>
      </c>
    </row>
    <row r="39" spans="2:7" x14ac:dyDescent="0.3">
      <c r="B39" t="s">
        <v>37</v>
      </c>
      <c r="C39" s="5">
        <v>833435</v>
      </c>
      <c r="D39" s="5">
        <v>278787</v>
      </c>
      <c r="E39" s="5">
        <v>1112222</v>
      </c>
      <c r="F39" s="5">
        <v>27045292</v>
      </c>
    </row>
    <row r="40" spans="2:7" x14ac:dyDescent="0.3">
      <c r="B40" t="s">
        <v>38</v>
      </c>
      <c r="C40" s="5">
        <v>841769</v>
      </c>
      <c r="D40" s="5">
        <v>270453</v>
      </c>
      <c r="E40" s="5">
        <v>1112222</v>
      </c>
      <c r="F40" s="5">
        <v>26203523</v>
      </c>
    </row>
    <row r="41" spans="2:7" x14ac:dyDescent="0.3">
      <c r="B41" t="s">
        <v>39</v>
      </c>
      <c r="C41" s="5">
        <v>850187</v>
      </c>
      <c r="D41" s="5">
        <v>262035</v>
      </c>
      <c r="E41" s="5">
        <v>1112222</v>
      </c>
      <c r="F41" s="5">
        <v>25353336</v>
      </c>
    </row>
    <row r="42" spans="2:7" x14ac:dyDescent="0.3">
      <c r="B42" s="6" t="s">
        <v>40</v>
      </c>
      <c r="C42" s="7">
        <v>858689</v>
      </c>
      <c r="D42" s="7">
        <v>253533</v>
      </c>
      <c r="E42" s="7">
        <v>1112222</v>
      </c>
      <c r="F42" s="7">
        <v>24494647</v>
      </c>
      <c r="G42" s="9">
        <f>SUM(D31:D42)</f>
        <v>3585409</v>
      </c>
    </row>
    <row r="43" spans="2:7" x14ac:dyDescent="0.3">
      <c r="B43" t="s">
        <v>41</v>
      </c>
      <c r="C43" s="5">
        <v>867276</v>
      </c>
      <c r="D43" s="5">
        <v>244946</v>
      </c>
      <c r="E43" s="5">
        <v>1112222</v>
      </c>
      <c r="F43" s="5">
        <v>23627371</v>
      </c>
    </row>
    <row r="44" spans="2:7" x14ac:dyDescent="0.3">
      <c r="B44" t="s">
        <v>42</v>
      </c>
      <c r="C44" s="5">
        <v>875949</v>
      </c>
      <c r="D44" s="5">
        <v>236274</v>
      </c>
      <c r="E44" s="5">
        <v>1112222</v>
      </c>
      <c r="F44" s="5">
        <v>22751422</v>
      </c>
    </row>
    <row r="45" spans="2:7" x14ac:dyDescent="0.3">
      <c r="B45" t="s">
        <v>43</v>
      </c>
      <c r="C45" s="5">
        <v>884708</v>
      </c>
      <c r="D45" s="5">
        <v>227514</v>
      </c>
      <c r="E45" s="5">
        <v>1112222</v>
      </c>
      <c r="F45" s="5">
        <v>21866714</v>
      </c>
    </row>
    <row r="46" spans="2:7" x14ac:dyDescent="0.3">
      <c r="B46" t="s">
        <v>44</v>
      </c>
      <c r="C46" s="5">
        <v>893555</v>
      </c>
      <c r="D46" s="5">
        <v>218667</v>
      </c>
      <c r="E46" s="5">
        <v>1112222</v>
      </c>
      <c r="F46" s="5">
        <v>20973159</v>
      </c>
    </row>
    <row r="47" spans="2:7" x14ac:dyDescent="0.3">
      <c r="B47" t="s">
        <v>45</v>
      </c>
      <c r="C47" s="5">
        <v>902491</v>
      </c>
      <c r="D47" s="5">
        <v>209732</v>
      </c>
      <c r="E47" s="5">
        <v>1112222</v>
      </c>
      <c r="F47" s="5">
        <v>20070668</v>
      </c>
    </row>
    <row r="48" spans="2:7" x14ac:dyDescent="0.3">
      <c r="B48" t="s">
        <v>46</v>
      </c>
      <c r="C48" s="5">
        <v>911516</v>
      </c>
      <c r="D48" s="5">
        <v>200707</v>
      </c>
      <c r="E48" s="5">
        <v>1112222</v>
      </c>
      <c r="F48" s="5">
        <v>19159152</v>
      </c>
    </row>
    <row r="49" spans="2:7" x14ac:dyDescent="0.3">
      <c r="B49" t="s">
        <v>47</v>
      </c>
      <c r="C49" s="5">
        <v>920631</v>
      </c>
      <c r="D49" s="5">
        <v>191592</v>
      </c>
      <c r="E49" s="5">
        <v>1112222</v>
      </c>
      <c r="F49" s="5">
        <v>18238521</v>
      </c>
    </row>
    <row r="50" spans="2:7" x14ac:dyDescent="0.3">
      <c r="B50" t="s">
        <v>48</v>
      </c>
      <c r="C50" s="5">
        <v>929837</v>
      </c>
      <c r="D50" s="5">
        <v>182385</v>
      </c>
      <c r="E50" s="5">
        <v>1112222</v>
      </c>
      <c r="F50" s="5">
        <v>17308684</v>
      </c>
    </row>
    <row r="51" spans="2:7" x14ac:dyDescent="0.3">
      <c r="B51" t="s">
        <v>49</v>
      </c>
      <c r="C51" s="5">
        <v>939136</v>
      </c>
      <c r="D51" s="5">
        <v>173087</v>
      </c>
      <c r="E51" s="5">
        <v>1112222</v>
      </c>
      <c r="F51" s="5">
        <v>16369549</v>
      </c>
    </row>
    <row r="52" spans="2:7" x14ac:dyDescent="0.3">
      <c r="B52" t="s">
        <v>50</v>
      </c>
      <c r="C52" s="5">
        <v>948527</v>
      </c>
      <c r="D52" s="5">
        <v>163695</v>
      </c>
      <c r="E52" s="5">
        <v>1112222</v>
      </c>
      <c r="F52" s="5">
        <v>15421022</v>
      </c>
    </row>
    <row r="53" spans="2:7" x14ac:dyDescent="0.3">
      <c r="B53" t="s">
        <v>51</v>
      </c>
      <c r="C53" s="5">
        <v>958012</v>
      </c>
      <c r="D53" s="5">
        <v>154210</v>
      </c>
      <c r="E53" s="5">
        <v>1112222</v>
      </c>
      <c r="F53" s="5">
        <v>14463010</v>
      </c>
    </row>
    <row r="54" spans="2:7" x14ac:dyDescent="0.3">
      <c r="B54" s="6" t="s">
        <v>52</v>
      </c>
      <c r="C54" s="7">
        <v>967592</v>
      </c>
      <c r="D54" s="7">
        <v>144630</v>
      </c>
      <c r="E54" s="7">
        <v>1112222</v>
      </c>
      <c r="F54" s="7">
        <v>13495417</v>
      </c>
      <c r="G54" s="9">
        <f>SUM(D43:D54)</f>
        <v>2347439</v>
      </c>
    </row>
    <row r="55" spans="2:7" x14ac:dyDescent="0.3">
      <c r="B55" t="s">
        <v>53</v>
      </c>
      <c r="C55" s="5">
        <v>977268</v>
      </c>
      <c r="D55" s="5">
        <v>134954</v>
      </c>
      <c r="E55" s="5">
        <v>1112222</v>
      </c>
      <c r="F55" s="5">
        <v>12518149</v>
      </c>
    </row>
    <row r="56" spans="2:7" x14ac:dyDescent="0.3">
      <c r="B56" t="s">
        <v>54</v>
      </c>
      <c r="C56" s="5">
        <v>987041</v>
      </c>
      <c r="D56" s="5">
        <v>125181</v>
      </c>
      <c r="E56" s="5">
        <v>1112222</v>
      </c>
      <c r="F56" s="5">
        <v>11531108</v>
      </c>
    </row>
    <row r="57" spans="2:7" x14ac:dyDescent="0.3">
      <c r="B57" t="s">
        <v>55</v>
      </c>
      <c r="C57" s="5">
        <v>996911</v>
      </c>
      <c r="D57" s="5">
        <v>115311</v>
      </c>
      <c r="E57" s="5">
        <v>1112222</v>
      </c>
      <c r="F57" s="5">
        <v>10534197</v>
      </c>
    </row>
    <row r="58" spans="2:7" x14ac:dyDescent="0.3">
      <c r="B58" t="s">
        <v>56</v>
      </c>
      <c r="C58" s="5">
        <v>1006880</v>
      </c>
      <c r="D58" s="5">
        <v>105342</v>
      </c>
      <c r="E58" s="5">
        <v>1112222</v>
      </c>
      <c r="F58" s="5">
        <v>9527316</v>
      </c>
    </row>
    <row r="59" spans="2:7" x14ac:dyDescent="0.3">
      <c r="B59" t="s">
        <v>57</v>
      </c>
      <c r="C59" s="5">
        <v>1016949</v>
      </c>
      <c r="D59" s="5">
        <v>95273</v>
      </c>
      <c r="E59" s="5">
        <v>1112222</v>
      </c>
      <c r="F59" s="5">
        <v>8510367</v>
      </c>
    </row>
    <row r="60" spans="2:7" x14ac:dyDescent="0.3">
      <c r="B60" t="s">
        <v>58</v>
      </c>
      <c r="C60" s="5">
        <v>1027119</v>
      </c>
      <c r="D60" s="5">
        <v>85104</v>
      </c>
      <c r="E60" s="5">
        <v>1112222</v>
      </c>
      <c r="F60" s="5">
        <v>7483249</v>
      </c>
    </row>
    <row r="61" spans="2:7" x14ac:dyDescent="0.3">
      <c r="B61" t="s">
        <v>59</v>
      </c>
      <c r="C61" s="5">
        <v>1037390</v>
      </c>
      <c r="D61" s="5">
        <v>74832</v>
      </c>
      <c r="E61" s="5">
        <v>1112222</v>
      </c>
      <c r="F61" s="5">
        <v>6445859</v>
      </c>
    </row>
    <row r="62" spans="2:7" x14ac:dyDescent="0.3">
      <c r="B62" t="s">
        <v>60</v>
      </c>
      <c r="C62" s="5">
        <v>1047764</v>
      </c>
      <c r="D62" s="5">
        <v>64459</v>
      </c>
      <c r="E62" s="5">
        <v>1112222</v>
      </c>
      <c r="F62" s="5">
        <v>5398095</v>
      </c>
    </row>
    <row r="63" spans="2:7" x14ac:dyDescent="0.3">
      <c r="B63" t="s">
        <v>61</v>
      </c>
      <c r="C63" s="5">
        <v>1058241</v>
      </c>
      <c r="D63" s="5">
        <v>53981</v>
      </c>
      <c r="E63" s="5">
        <v>1112222</v>
      </c>
      <c r="F63" s="5">
        <v>4339853</v>
      </c>
    </row>
    <row r="64" spans="2:7" x14ac:dyDescent="0.3">
      <c r="B64" t="s">
        <v>62</v>
      </c>
      <c r="C64" s="5">
        <v>1068824</v>
      </c>
      <c r="D64" s="5">
        <v>43399</v>
      </c>
      <c r="E64" s="5">
        <v>1112222</v>
      </c>
      <c r="F64" s="5">
        <v>3271030</v>
      </c>
    </row>
    <row r="65" spans="2:7" x14ac:dyDescent="0.3">
      <c r="B65" t="s">
        <v>63</v>
      </c>
      <c r="C65" s="5">
        <v>1079512</v>
      </c>
      <c r="D65" s="5">
        <v>32710</v>
      </c>
      <c r="E65" s="5">
        <v>1112222</v>
      </c>
      <c r="F65" s="5">
        <v>2191517</v>
      </c>
    </row>
    <row r="66" spans="2:7" x14ac:dyDescent="0.3">
      <c r="B66" s="6" t="s">
        <v>64</v>
      </c>
      <c r="C66" s="7">
        <v>1090307</v>
      </c>
      <c r="D66" s="7">
        <v>21915</v>
      </c>
      <c r="E66" s="7">
        <v>1112222</v>
      </c>
      <c r="F66" s="7">
        <v>1101210</v>
      </c>
      <c r="G66" s="9">
        <f>SUM(D55:D66)</f>
        <v>952461</v>
      </c>
    </row>
    <row r="67" spans="2:7" x14ac:dyDescent="0.3">
      <c r="B67" t="s">
        <v>65</v>
      </c>
      <c r="C67" s="5">
        <v>1101210</v>
      </c>
      <c r="D67" s="5">
        <v>11012</v>
      </c>
      <c r="E67" s="5">
        <v>1112222</v>
      </c>
      <c r="F67" s="5">
        <v>0</v>
      </c>
    </row>
    <row r="69" spans="2:7" x14ac:dyDescent="0.3">
      <c r="B69" s="2" t="s">
        <v>92</v>
      </c>
      <c r="C69" s="5">
        <v>2027</v>
      </c>
      <c r="D69" s="5">
        <v>2028</v>
      </c>
      <c r="E69" s="5">
        <v>2029</v>
      </c>
      <c r="F69" s="5">
        <v>2030</v>
      </c>
      <c r="G69" s="5">
        <v>2031</v>
      </c>
    </row>
    <row r="70" spans="2:7" x14ac:dyDescent="0.3">
      <c r="B70" t="s">
        <v>93</v>
      </c>
      <c r="C70" s="5">
        <v>325000000</v>
      </c>
      <c r="D70" s="5">
        <v>275000000</v>
      </c>
      <c r="E70" s="5">
        <v>275000000</v>
      </c>
      <c r="F70" s="5">
        <v>275000000</v>
      </c>
      <c r="G70" s="5">
        <v>275000000</v>
      </c>
    </row>
    <row r="71" spans="2:7" x14ac:dyDescent="0.3">
      <c r="B71" s="2" t="s">
        <v>94</v>
      </c>
      <c r="C71" s="18">
        <f>C70*12%/12*10</f>
        <v>32500000</v>
      </c>
      <c r="D71" s="18">
        <f>D70*12%</f>
        <v>33000000</v>
      </c>
      <c r="E71" s="18">
        <f t="shared" ref="E71:G71" si="0">E70*12%</f>
        <v>33000000</v>
      </c>
      <c r="F71" s="18">
        <f t="shared" si="0"/>
        <v>33000000</v>
      </c>
      <c r="G71" s="18">
        <f t="shared" si="0"/>
        <v>33000000</v>
      </c>
    </row>
    <row r="73" spans="2:7" x14ac:dyDescent="0.3">
      <c r="B73" s="2" t="s">
        <v>91</v>
      </c>
      <c r="C73" s="5">
        <v>2027</v>
      </c>
      <c r="D73" s="5">
        <v>2028</v>
      </c>
      <c r="E73" s="5">
        <v>2029</v>
      </c>
      <c r="F73" s="5">
        <v>2030</v>
      </c>
      <c r="G73" s="5">
        <v>2031</v>
      </c>
    </row>
    <row r="74" spans="2:7" x14ac:dyDescent="0.3">
      <c r="B74" s="2" t="s">
        <v>95</v>
      </c>
      <c r="C74" s="13">
        <f>C71+G18+GECL!H13+GECL!H40+GECL!H67+GECL!H94+GECL!H118</f>
        <v>39745847.49471578</v>
      </c>
      <c r="D74" s="13">
        <f>D71+G30+GECL!H25+GECL!H52+GECL!H79+GECL!H106</f>
        <v>38683493.31884712</v>
      </c>
      <c r="E74" s="13">
        <f>E71+G42+GECL!H26+GECL!H53+GECL!H80+GECL!H107</f>
        <v>36596331.976493143</v>
      </c>
      <c r="F74" s="9">
        <f>F71+G54</f>
        <v>35347439</v>
      </c>
      <c r="G74" s="9">
        <f>G66+G71</f>
        <v>33952461</v>
      </c>
    </row>
    <row r="75" spans="2:7" x14ac:dyDescent="0.3">
      <c r="B75" s="2" t="s">
        <v>96</v>
      </c>
      <c r="C75" s="13">
        <f>F18+GECL!G13+GECL!G40+GECL!G67+GECL!G94</f>
        <v>57315522.329999998</v>
      </c>
      <c r="D75" s="13">
        <f>F30+GECL!G25+GECL!G52+GECL!G79+GECL!G106</f>
        <v>35363372.450000003</v>
      </c>
      <c r="E75" s="9">
        <f>F42</f>
        <v>24494647</v>
      </c>
      <c r="F75" s="9">
        <f>F54</f>
        <v>13495417</v>
      </c>
      <c r="G75" s="9">
        <f>F66</f>
        <v>1101210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574B-318B-4069-941E-95F5AB8B9053}">
  <dimension ref="B1:H118"/>
  <sheetViews>
    <sheetView topLeftCell="A87" workbookViewId="0">
      <selection activeCell="B121" sqref="B121"/>
    </sheetView>
  </sheetViews>
  <sheetFormatPr defaultRowHeight="14.4" x14ac:dyDescent="0.3"/>
  <cols>
    <col min="1" max="1" width="2" customWidth="1"/>
    <col min="2" max="2" width="20.88671875" customWidth="1"/>
    <col min="3" max="3" width="10.33203125" bestFit="1" customWidth="1"/>
    <col min="4" max="4" width="15.5546875" customWidth="1"/>
    <col min="5" max="5" width="16.6640625" customWidth="1"/>
    <col min="6" max="6" width="16.44140625" customWidth="1"/>
    <col min="7" max="7" width="20" customWidth="1"/>
    <col min="8" max="8" width="13.88671875" bestFit="1" customWidth="1"/>
  </cols>
  <sheetData>
    <row r="1" spans="2:8" x14ac:dyDescent="0.3">
      <c r="B1" s="2" t="s">
        <v>80</v>
      </c>
      <c r="C1" s="2"/>
    </row>
    <row r="2" spans="2:8" x14ac:dyDescent="0.3">
      <c r="B2" s="10" t="s">
        <v>78</v>
      </c>
      <c r="C2" s="10" t="s">
        <v>83</v>
      </c>
      <c r="D2" t="s">
        <v>81</v>
      </c>
      <c r="E2" t="s">
        <v>79</v>
      </c>
      <c r="F2" t="s">
        <v>68</v>
      </c>
      <c r="G2" t="s">
        <v>82</v>
      </c>
    </row>
    <row r="3" spans="2:8" x14ac:dyDescent="0.3">
      <c r="B3" s="4">
        <v>46174</v>
      </c>
      <c r="C3" s="4"/>
      <c r="G3" s="3">
        <v>13416666.789999999</v>
      </c>
      <c r="H3" s="13"/>
    </row>
    <row r="4" spans="2:8" x14ac:dyDescent="0.3">
      <c r="B4" s="4">
        <v>46203</v>
      </c>
      <c r="C4" s="12">
        <f>B4-B3</f>
        <v>29</v>
      </c>
      <c r="D4" s="3">
        <v>583333</v>
      </c>
      <c r="E4" s="13">
        <f>G3*12%*C4/365</f>
        <v>127917.80939506847</v>
      </c>
      <c r="F4" s="13">
        <f>D4+E4</f>
        <v>711250.80939506844</v>
      </c>
      <c r="G4" s="13">
        <f>G3-D4</f>
        <v>12833333.789999999</v>
      </c>
      <c r="H4" s="13"/>
    </row>
    <row r="5" spans="2:8" x14ac:dyDescent="0.3">
      <c r="B5" s="4">
        <v>46234</v>
      </c>
      <c r="C5" s="12">
        <f t="shared" ref="C5:C26" si="0">B5-B4</f>
        <v>31</v>
      </c>
      <c r="D5" s="3">
        <v>583333</v>
      </c>
      <c r="E5" s="13">
        <f>G4*12%*C5/365</f>
        <v>130794.52520219177</v>
      </c>
      <c r="F5" s="13">
        <f t="shared" ref="F5:F26" si="1">D5+E5</f>
        <v>714127.52520219178</v>
      </c>
      <c r="G5" s="13">
        <f t="shared" ref="G5:G26" si="2">G4-D5</f>
        <v>12250000.789999999</v>
      </c>
    </row>
    <row r="6" spans="2:8" x14ac:dyDescent="0.3">
      <c r="B6" s="4">
        <v>46265</v>
      </c>
      <c r="C6" s="12">
        <f t="shared" si="0"/>
        <v>31</v>
      </c>
      <c r="D6" s="3">
        <v>583333</v>
      </c>
      <c r="E6" s="13">
        <f t="shared" ref="E6:E26" si="3">G5*12%*C6/365</f>
        <v>124849.32311999997</v>
      </c>
      <c r="F6" s="13">
        <f t="shared" si="1"/>
        <v>708182.32311999996</v>
      </c>
      <c r="G6" s="13">
        <f t="shared" si="2"/>
        <v>11666667.789999999</v>
      </c>
    </row>
    <row r="7" spans="2:8" x14ac:dyDescent="0.3">
      <c r="B7" s="4">
        <v>46295</v>
      </c>
      <c r="C7" s="12">
        <f t="shared" si="0"/>
        <v>30</v>
      </c>
      <c r="D7" s="3">
        <v>583333</v>
      </c>
      <c r="E7" s="13">
        <f t="shared" si="3"/>
        <v>115068.50423013698</v>
      </c>
      <c r="F7" s="13">
        <f t="shared" si="1"/>
        <v>698401.50423013698</v>
      </c>
      <c r="G7" s="13">
        <f t="shared" si="2"/>
        <v>11083334.789999999</v>
      </c>
    </row>
    <row r="8" spans="2:8" x14ac:dyDescent="0.3">
      <c r="B8" s="4">
        <v>46326</v>
      </c>
      <c r="C8" s="12">
        <f t="shared" si="0"/>
        <v>31</v>
      </c>
      <c r="D8" s="3">
        <v>583333</v>
      </c>
      <c r="E8" s="13">
        <f t="shared" si="3"/>
        <v>112958.91895561643</v>
      </c>
      <c r="F8" s="13">
        <f t="shared" si="1"/>
        <v>696291.91895561642</v>
      </c>
      <c r="G8" s="13">
        <f t="shared" si="2"/>
        <v>10500001.789999999</v>
      </c>
    </row>
    <row r="9" spans="2:8" x14ac:dyDescent="0.3">
      <c r="B9" s="4">
        <v>46356</v>
      </c>
      <c r="C9" s="12">
        <f t="shared" si="0"/>
        <v>30</v>
      </c>
      <c r="D9" s="3">
        <v>583333</v>
      </c>
      <c r="E9" s="13">
        <f t="shared" si="3"/>
        <v>103561.66149041096</v>
      </c>
      <c r="F9" s="13">
        <f t="shared" si="1"/>
        <v>686894.66149041092</v>
      </c>
      <c r="G9" s="13">
        <f t="shared" si="2"/>
        <v>9916668.7899999991</v>
      </c>
    </row>
    <row r="10" spans="2:8" x14ac:dyDescent="0.3">
      <c r="B10" s="4">
        <v>46387</v>
      </c>
      <c r="C10" s="12">
        <f t="shared" si="0"/>
        <v>31</v>
      </c>
      <c r="D10" s="3">
        <v>583333</v>
      </c>
      <c r="E10" s="13">
        <f t="shared" si="3"/>
        <v>101068.51479123285</v>
      </c>
      <c r="F10" s="13">
        <f t="shared" si="1"/>
        <v>684401.51479123288</v>
      </c>
      <c r="G10" s="13">
        <f t="shared" si="2"/>
        <v>9333335.7899999991</v>
      </c>
    </row>
    <row r="11" spans="2:8" x14ac:dyDescent="0.3">
      <c r="B11" s="4">
        <v>46418</v>
      </c>
      <c r="C11" s="12">
        <f t="shared" si="0"/>
        <v>31</v>
      </c>
      <c r="D11" s="3">
        <v>583333</v>
      </c>
      <c r="E11" s="13">
        <f t="shared" si="3"/>
        <v>95123.312709041085</v>
      </c>
      <c r="F11" s="13">
        <f t="shared" si="1"/>
        <v>678456.31270904106</v>
      </c>
      <c r="G11" s="13">
        <f t="shared" si="2"/>
        <v>8750002.7899999991</v>
      </c>
    </row>
    <row r="12" spans="2:8" x14ac:dyDescent="0.3">
      <c r="B12" s="4">
        <v>46446</v>
      </c>
      <c r="C12" s="12">
        <f t="shared" si="0"/>
        <v>28</v>
      </c>
      <c r="D12" s="3">
        <v>583333</v>
      </c>
      <c r="E12" s="13">
        <f t="shared" si="3"/>
        <v>80547.970888767115</v>
      </c>
      <c r="F12" s="13">
        <f t="shared" si="1"/>
        <v>663880.97088876716</v>
      </c>
      <c r="G12" s="13">
        <f t="shared" si="2"/>
        <v>8166669.7899999991</v>
      </c>
    </row>
    <row r="13" spans="2:8" x14ac:dyDescent="0.3">
      <c r="B13" s="14">
        <v>46477</v>
      </c>
      <c r="C13" s="15">
        <f t="shared" si="0"/>
        <v>31</v>
      </c>
      <c r="D13" s="16">
        <v>583333</v>
      </c>
      <c r="E13" s="17">
        <f t="shared" si="3"/>
        <v>83232.908544657519</v>
      </c>
      <c r="F13" s="17">
        <f t="shared" si="1"/>
        <v>666565.90854465752</v>
      </c>
      <c r="G13" s="17">
        <f t="shared" si="2"/>
        <v>7583336.7899999991</v>
      </c>
      <c r="H13" s="13">
        <f>SUM(E4:E13)</f>
        <v>1075123.4493271231</v>
      </c>
    </row>
    <row r="14" spans="2:8" x14ac:dyDescent="0.3">
      <c r="B14" s="4">
        <v>46507</v>
      </c>
      <c r="C14" s="12">
        <f t="shared" si="0"/>
        <v>30</v>
      </c>
      <c r="D14" s="3">
        <v>583333</v>
      </c>
      <c r="E14" s="13">
        <f t="shared" si="3"/>
        <v>74794.554641095892</v>
      </c>
      <c r="F14" s="13">
        <f t="shared" si="1"/>
        <v>658127.55464109592</v>
      </c>
      <c r="G14" s="13">
        <f t="shared" si="2"/>
        <v>7000003.7899999991</v>
      </c>
    </row>
    <row r="15" spans="2:8" x14ac:dyDescent="0.3">
      <c r="B15" s="4">
        <v>46538</v>
      </c>
      <c r="C15" s="12">
        <f t="shared" si="0"/>
        <v>31</v>
      </c>
      <c r="D15" s="3">
        <v>583333</v>
      </c>
      <c r="E15" s="13">
        <f t="shared" si="3"/>
        <v>71342.504380273967</v>
      </c>
      <c r="F15" s="13">
        <f t="shared" si="1"/>
        <v>654675.50438027398</v>
      </c>
      <c r="G15" s="13">
        <f t="shared" si="2"/>
        <v>6416670.7899999991</v>
      </c>
    </row>
    <row r="16" spans="2:8" x14ac:dyDescent="0.3">
      <c r="B16" s="4">
        <v>46568</v>
      </c>
      <c r="C16" s="12">
        <f t="shared" si="0"/>
        <v>30</v>
      </c>
      <c r="D16" s="3">
        <v>583333</v>
      </c>
      <c r="E16" s="13">
        <f t="shared" si="3"/>
        <v>63287.711901369854</v>
      </c>
      <c r="F16" s="13">
        <f t="shared" si="1"/>
        <v>646620.71190136985</v>
      </c>
      <c r="G16" s="13">
        <f t="shared" si="2"/>
        <v>5833337.7899999991</v>
      </c>
    </row>
    <row r="17" spans="2:8" x14ac:dyDescent="0.3">
      <c r="B17" s="4">
        <v>46599</v>
      </c>
      <c r="C17" s="12">
        <f t="shared" si="0"/>
        <v>31</v>
      </c>
      <c r="D17" s="3">
        <v>583333</v>
      </c>
      <c r="E17" s="13">
        <f t="shared" si="3"/>
        <v>59452.100215890401</v>
      </c>
      <c r="F17" s="13">
        <f t="shared" si="1"/>
        <v>642785.10021589044</v>
      </c>
      <c r="G17" s="13">
        <f t="shared" si="2"/>
        <v>5250004.7899999991</v>
      </c>
    </row>
    <row r="18" spans="2:8" x14ac:dyDescent="0.3">
      <c r="B18" s="4">
        <v>46630</v>
      </c>
      <c r="C18" s="12">
        <f t="shared" si="0"/>
        <v>31</v>
      </c>
      <c r="D18" s="3">
        <v>583333</v>
      </c>
      <c r="E18" s="13">
        <f t="shared" si="3"/>
        <v>53506.898133698618</v>
      </c>
      <c r="F18" s="13">
        <f t="shared" si="1"/>
        <v>636839.89813369862</v>
      </c>
      <c r="G18" s="13">
        <f t="shared" si="2"/>
        <v>4666671.7899999991</v>
      </c>
    </row>
    <row r="19" spans="2:8" x14ac:dyDescent="0.3">
      <c r="B19" s="4">
        <v>46660</v>
      </c>
      <c r="C19" s="12">
        <f t="shared" si="0"/>
        <v>30</v>
      </c>
      <c r="D19" s="3">
        <v>583333</v>
      </c>
      <c r="E19" s="13">
        <f t="shared" si="3"/>
        <v>46027.447791780804</v>
      </c>
      <c r="F19" s="13">
        <f t="shared" si="1"/>
        <v>629360.44779178081</v>
      </c>
      <c r="G19" s="13">
        <f t="shared" si="2"/>
        <v>4083338.7899999991</v>
      </c>
    </row>
    <row r="20" spans="2:8" x14ac:dyDescent="0.3">
      <c r="B20" s="4">
        <v>46691</v>
      </c>
      <c r="C20" s="12">
        <f t="shared" si="0"/>
        <v>31</v>
      </c>
      <c r="D20" s="3">
        <v>583333</v>
      </c>
      <c r="E20" s="13">
        <f t="shared" si="3"/>
        <v>41616.493969315059</v>
      </c>
      <c r="F20" s="13">
        <f t="shared" si="1"/>
        <v>624949.49396931508</v>
      </c>
      <c r="G20" s="13">
        <f t="shared" si="2"/>
        <v>3500005.7899999991</v>
      </c>
    </row>
    <row r="21" spans="2:8" x14ac:dyDescent="0.3">
      <c r="B21" s="4">
        <v>46721</v>
      </c>
      <c r="C21" s="12">
        <f t="shared" si="0"/>
        <v>30</v>
      </c>
      <c r="D21" s="3">
        <v>583333</v>
      </c>
      <c r="E21" s="13">
        <f t="shared" si="3"/>
        <v>34520.605052054787</v>
      </c>
      <c r="F21" s="13">
        <f t="shared" si="1"/>
        <v>617853.60505205474</v>
      </c>
      <c r="G21" s="13">
        <f t="shared" si="2"/>
        <v>2916672.7899999991</v>
      </c>
    </row>
    <row r="22" spans="2:8" x14ac:dyDescent="0.3">
      <c r="B22" s="4">
        <v>46752</v>
      </c>
      <c r="C22" s="12">
        <f t="shared" si="0"/>
        <v>31</v>
      </c>
      <c r="D22" s="3">
        <v>583333</v>
      </c>
      <c r="E22" s="13">
        <f t="shared" si="3"/>
        <v>29726.089804931496</v>
      </c>
      <c r="F22" s="13">
        <f t="shared" si="1"/>
        <v>613059.08980493154</v>
      </c>
      <c r="G22" s="13">
        <f t="shared" si="2"/>
        <v>2333339.7899999991</v>
      </c>
    </row>
    <row r="23" spans="2:8" x14ac:dyDescent="0.3">
      <c r="B23" s="4">
        <v>46783</v>
      </c>
      <c r="C23" s="12">
        <f t="shared" si="0"/>
        <v>31</v>
      </c>
      <c r="D23" s="3">
        <v>583333</v>
      </c>
      <c r="E23" s="13">
        <f t="shared" si="3"/>
        <v>23780.887722739713</v>
      </c>
      <c r="F23" s="13">
        <f t="shared" si="1"/>
        <v>607113.88772273972</v>
      </c>
      <c r="G23" s="13">
        <f t="shared" si="2"/>
        <v>1750006.7899999991</v>
      </c>
    </row>
    <row r="24" spans="2:8" x14ac:dyDescent="0.3">
      <c r="B24" s="4">
        <v>46811</v>
      </c>
      <c r="C24" s="12">
        <f t="shared" si="0"/>
        <v>28</v>
      </c>
      <c r="D24" s="3">
        <v>583333</v>
      </c>
      <c r="E24" s="13">
        <f t="shared" si="3"/>
        <v>16109.65154630136</v>
      </c>
      <c r="F24" s="13">
        <f t="shared" si="1"/>
        <v>599442.65154630132</v>
      </c>
      <c r="G24" s="13">
        <f t="shared" si="2"/>
        <v>1166673.7899999991</v>
      </c>
    </row>
    <row r="25" spans="2:8" x14ac:dyDescent="0.3">
      <c r="B25" s="14">
        <v>46843</v>
      </c>
      <c r="C25" s="15">
        <f t="shared" si="0"/>
        <v>32</v>
      </c>
      <c r="D25" s="16">
        <v>583333</v>
      </c>
      <c r="E25" s="17">
        <f t="shared" si="3"/>
        <v>12274.047544109579</v>
      </c>
      <c r="F25" s="17">
        <f t="shared" si="1"/>
        <v>595607.04754410964</v>
      </c>
      <c r="G25" s="17">
        <f t="shared" si="2"/>
        <v>583340.78999999911</v>
      </c>
      <c r="H25" s="13">
        <f>SUM(E14:E25)</f>
        <v>526438.99270356155</v>
      </c>
    </row>
    <row r="26" spans="2:8" x14ac:dyDescent="0.3">
      <c r="B26" s="4">
        <v>46873</v>
      </c>
      <c r="C26" s="12">
        <f t="shared" si="0"/>
        <v>30</v>
      </c>
      <c r="D26" s="3">
        <f>583333+7.79</f>
        <v>583340.79</v>
      </c>
      <c r="E26" s="13">
        <f t="shared" si="3"/>
        <v>5753.4982027397173</v>
      </c>
      <c r="F26" s="13">
        <f t="shared" si="1"/>
        <v>589094.28820273979</v>
      </c>
      <c r="G26" s="13">
        <f t="shared" si="2"/>
        <v>-9.3132257461547852E-10</v>
      </c>
      <c r="H26" s="13">
        <f>SUM(E26)</f>
        <v>5753.4982027397173</v>
      </c>
    </row>
    <row r="28" spans="2:8" x14ac:dyDescent="0.3">
      <c r="B28" s="2" t="s">
        <v>84</v>
      </c>
    </row>
    <row r="29" spans="2:8" x14ac:dyDescent="0.3">
      <c r="B29" s="10" t="s">
        <v>85</v>
      </c>
      <c r="C29" s="10" t="s">
        <v>83</v>
      </c>
      <c r="D29" t="s">
        <v>81</v>
      </c>
      <c r="E29" t="s">
        <v>79</v>
      </c>
      <c r="F29" t="s">
        <v>68</v>
      </c>
      <c r="G29" t="s">
        <v>82</v>
      </c>
    </row>
    <row r="30" spans="2:8" x14ac:dyDescent="0.3">
      <c r="B30" s="4">
        <v>46174</v>
      </c>
      <c r="C30" s="4"/>
      <c r="G30" s="3">
        <v>2412956.2400000002</v>
      </c>
      <c r="H30" s="13"/>
    </row>
    <row r="31" spans="2:8" x14ac:dyDescent="0.3">
      <c r="B31" s="4">
        <v>46203</v>
      </c>
      <c r="C31" s="12">
        <f>B31-B30</f>
        <v>29</v>
      </c>
      <c r="D31" s="3">
        <f>105000-88.86</f>
        <v>104911.14</v>
      </c>
      <c r="E31" s="13">
        <f>G30*12%*C31/365</f>
        <v>23005.719767671231</v>
      </c>
      <c r="F31" s="13">
        <f>D31+E31</f>
        <v>127916.85976767124</v>
      </c>
      <c r="G31" s="13">
        <f>G30-D31</f>
        <v>2308045.1</v>
      </c>
      <c r="H31" s="13"/>
    </row>
    <row r="32" spans="2:8" x14ac:dyDescent="0.3">
      <c r="B32" s="4">
        <v>46234</v>
      </c>
      <c r="C32" s="12">
        <f t="shared" ref="C32:C53" si="4">B32-B31</f>
        <v>31</v>
      </c>
      <c r="D32" s="3">
        <f t="shared" ref="D32:D52" si="5">105000-88.86</f>
        <v>104911.14</v>
      </c>
      <c r="E32" s="13">
        <f>G31*12%*C32/365</f>
        <v>23523.089786301371</v>
      </c>
      <c r="F32" s="13">
        <f t="shared" ref="F32:F53" si="6">D32+E32</f>
        <v>128434.22978630137</v>
      </c>
      <c r="G32" s="13">
        <f t="shared" ref="G32:G53" si="7">G31-D32</f>
        <v>2203133.96</v>
      </c>
    </row>
    <row r="33" spans="2:8" x14ac:dyDescent="0.3">
      <c r="B33" s="4">
        <v>46265</v>
      </c>
      <c r="C33" s="12">
        <f t="shared" si="4"/>
        <v>31</v>
      </c>
      <c r="D33" s="3">
        <f t="shared" si="5"/>
        <v>104911.14</v>
      </c>
      <c r="E33" s="13">
        <f t="shared" ref="E33:E53" si="8">G32*12%*C33/365</f>
        <v>22453.858441643832</v>
      </c>
      <c r="F33" s="13">
        <f t="shared" si="6"/>
        <v>127364.99844164384</v>
      </c>
      <c r="G33" s="13">
        <f t="shared" si="7"/>
        <v>2098222.8199999998</v>
      </c>
    </row>
    <row r="34" spans="2:8" x14ac:dyDescent="0.3">
      <c r="B34" s="4">
        <v>46295</v>
      </c>
      <c r="C34" s="12">
        <f t="shared" si="4"/>
        <v>30</v>
      </c>
      <c r="D34" s="3">
        <f t="shared" si="5"/>
        <v>104911.14</v>
      </c>
      <c r="E34" s="13">
        <f t="shared" si="8"/>
        <v>20694.800416438353</v>
      </c>
      <c r="F34" s="13">
        <f t="shared" si="6"/>
        <v>125605.94041643836</v>
      </c>
      <c r="G34" s="13">
        <f t="shared" si="7"/>
        <v>1993311.68</v>
      </c>
    </row>
    <row r="35" spans="2:8" x14ac:dyDescent="0.3">
      <c r="B35" s="4">
        <v>46326</v>
      </c>
      <c r="C35" s="12">
        <f t="shared" si="4"/>
        <v>31</v>
      </c>
      <c r="D35" s="3">
        <f t="shared" si="5"/>
        <v>104911.14</v>
      </c>
      <c r="E35" s="13">
        <f t="shared" si="8"/>
        <v>20315.395752328768</v>
      </c>
      <c r="F35" s="13">
        <f t="shared" si="6"/>
        <v>125226.53575232877</v>
      </c>
      <c r="G35" s="13">
        <f t="shared" si="7"/>
        <v>1888400.54</v>
      </c>
    </row>
    <row r="36" spans="2:8" x14ac:dyDescent="0.3">
      <c r="B36" s="4">
        <v>46356</v>
      </c>
      <c r="C36" s="12">
        <f t="shared" si="4"/>
        <v>30</v>
      </c>
      <c r="D36" s="3">
        <f t="shared" si="5"/>
        <v>104911.14</v>
      </c>
      <c r="E36" s="13">
        <f t="shared" si="8"/>
        <v>18625.32039452055</v>
      </c>
      <c r="F36" s="13">
        <f t="shared" si="6"/>
        <v>123536.46039452055</v>
      </c>
      <c r="G36" s="13">
        <f t="shared" si="7"/>
        <v>1783489.4000000001</v>
      </c>
    </row>
    <row r="37" spans="2:8" x14ac:dyDescent="0.3">
      <c r="B37" s="4">
        <v>46387</v>
      </c>
      <c r="C37" s="12">
        <f t="shared" si="4"/>
        <v>31</v>
      </c>
      <c r="D37" s="3">
        <f t="shared" si="5"/>
        <v>104911.14</v>
      </c>
      <c r="E37" s="13">
        <f t="shared" si="8"/>
        <v>18176.933063013697</v>
      </c>
      <c r="F37" s="13">
        <f t="shared" si="6"/>
        <v>123088.0730630137</v>
      </c>
      <c r="G37" s="13">
        <f t="shared" si="7"/>
        <v>1678578.2600000002</v>
      </c>
    </row>
    <row r="38" spans="2:8" x14ac:dyDescent="0.3">
      <c r="B38" s="4">
        <v>46418</v>
      </c>
      <c r="C38" s="12">
        <f t="shared" si="4"/>
        <v>31</v>
      </c>
      <c r="D38" s="3">
        <f t="shared" si="5"/>
        <v>104911.14</v>
      </c>
      <c r="E38" s="13">
        <f t="shared" si="8"/>
        <v>17107.701718356166</v>
      </c>
      <c r="F38" s="13">
        <f t="shared" si="6"/>
        <v>122018.84171835617</v>
      </c>
      <c r="G38" s="13">
        <f t="shared" si="7"/>
        <v>1573667.1200000003</v>
      </c>
    </row>
    <row r="39" spans="2:8" x14ac:dyDescent="0.3">
      <c r="B39" s="4">
        <v>46446</v>
      </c>
      <c r="C39" s="12">
        <f t="shared" si="4"/>
        <v>28</v>
      </c>
      <c r="D39" s="3">
        <f t="shared" si="5"/>
        <v>104911.14</v>
      </c>
      <c r="E39" s="13">
        <f t="shared" si="8"/>
        <v>14486.360337534248</v>
      </c>
      <c r="F39" s="13">
        <f t="shared" si="6"/>
        <v>119397.50033753425</v>
      </c>
      <c r="G39" s="13">
        <f t="shared" si="7"/>
        <v>1468755.9800000004</v>
      </c>
    </row>
    <row r="40" spans="2:8" x14ac:dyDescent="0.3">
      <c r="B40" s="14">
        <v>46477</v>
      </c>
      <c r="C40" s="15">
        <f t="shared" si="4"/>
        <v>31</v>
      </c>
      <c r="D40" s="16">
        <f t="shared" si="5"/>
        <v>104911.14</v>
      </c>
      <c r="E40" s="17">
        <f t="shared" si="8"/>
        <v>14969.239029041099</v>
      </c>
      <c r="F40" s="17">
        <f t="shared" si="6"/>
        <v>119880.3790290411</v>
      </c>
      <c r="G40" s="17">
        <f t="shared" si="7"/>
        <v>1363844.8400000005</v>
      </c>
      <c r="H40" s="13">
        <f>SUM(E31:E40)</f>
        <v>193358.41870684933</v>
      </c>
    </row>
    <row r="41" spans="2:8" x14ac:dyDescent="0.3">
      <c r="B41" s="4">
        <v>46507</v>
      </c>
      <c r="C41" s="12">
        <f t="shared" si="4"/>
        <v>30</v>
      </c>
      <c r="D41" s="3">
        <f t="shared" si="5"/>
        <v>104911.14</v>
      </c>
      <c r="E41" s="13">
        <f t="shared" si="8"/>
        <v>13451.620339726034</v>
      </c>
      <c r="F41" s="13">
        <f t="shared" si="6"/>
        <v>118362.76033972604</v>
      </c>
      <c r="G41" s="13">
        <f t="shared" si="7"/>
        <v>1258933.7000000007</v>
      </c>
    </row>
    <row r="42" spans="2:8" x14ac:dyDescent="0.3">
      <c r="B42" s="4">
        <v>46538</v>
      </c>
      <c r="C42" s="12">
        <f t="shared" si="4"/>
        <v>31</v>
      </c>
      <c r="D42" s="3">
        <f t="shared" si="5"/>
        <v>104911.14</v>
      </c>
      <c r="E42" s="13">
        <f t="shared" si="8"/>
        <v>12830.776339726035</v>
      </c>
      <c r="F42" s="13">
        <f t="shared" si="6"/>
        <v>117741.91633972604</v>
      </c>
      <c r="G42" s="13">
        <f t="shared" si="7"/>
        <v>1154022.5600000008</v>
      </c>
    </row>
    <row r="43" spans="2:8" x14ac:dyDescent="0.3">
      <c r="B43" s="4">
        <v>46568</v>
      </c>
      <c r="C43" s="12">
        <f t="shared" si="4"/>
        <v>30</v>
      </c>
      <c r="D43" s="3">
        <f t="shared" si="5"/>
        <v>104911.14</v>
      </c>
      <c r="E43" s="13">
        <f t="shared" si="8"/>
        <v>11382.140317808227</v>
      </c>
      <c r="F43" s="13">
        <f t="shared" si="6"/>
        <v>116293.28031780822</v>
      </c>
      <c r="G43" s="13">
        <f t="shared" si="7"/>
        <v>1049111.4200000009</v>
      </c>
    </row>
    <row r="44" spans="2:8" x14ac:dyDescent="0.3">
      <c r="B44" s="4">
        <v>46599</v>
      </c>
      <c r="C44" s="12">
        <f t="shared" si="4"/>
        <v>31</v>
      </c>
      <c r="D44" s="3">
        <f t="shared" si="5"/>
        <v>104911.14</v>
      </c>
      <c r="E44" s="13">
        <f t="shared" si="8"/>
        <v>10692.313650410968</v>
      </c>
      <c r="F44" s="13">
        <f t="shared" si="6"/>
        <v>115603.45365041097</v>
      </c>
      <c r="G44" s="13">
        <f t="shared" si="7"/>
        <v>944200.28000000084</v>
      </c>
    </row>
    <row r="45" spans="2:8" x14ac:dyDescent="0.3">
      <c r="B45" s="4">
        <v>46630</v>
      </c>
      <c r="C45" s="12">
        <f t="shared" si="4"/>
        <v>31</v>
      </c>
      <c r="D45" s="3">
        <f t="shared" si="5"/>
        <v>104911.14</v>
      </c>
      <c r="E45" s="13">
        <f t="shared" si="8"/>
        <v>9623.0823057534326</v>
      </c>
      <c r="F45" s="13">
        <f t="shared" si="6"/>
        <v>114534.22230575343</v>
      </c>
      <c r="G45" s="13">
        <f t="shared" si="7"/>
        <v>839289.14000000083</v>
      </c>
    </row>
    <row r="46" spans="2:8" x14ac:dyDescent="0.3">
      <c r="B46" s="4">
        <v>46660</v>
      </c>
      <c r="C46" s="12">
        <f t="shared" si="4"/>
        <v>30</v>
      </c>
      <c r="D46" s="3">
        <f t="shared" si="5"/>
        <v>104911.14</v>
      </c>
      <c r="E46" s="13">
        <f t="shared" si="8"/>
        <v>8277.9202849315152</v>
      </c>
      <c r="F46" s="13">
        <f t="shared" si="6"/>
        <v>113189.06028493152</v>
      </c>
      <c r="G46" s="13">
        <f t="shared" si="7"/>
        <v>734378.00000000081</v>
      </c>
    </row>
    <row r="47" spans="2:8" x14ac:dyDescent="0.3">
      <c r="B47" s="4">
        <v>46691</v>
      </c>
      <c r="C47" s="12">
        <f t="shared" si="4"/>
        <v>31</v>
      </c>
      <c r="D47" s="3">
        <f t="shared" si="5"/>
        <v>104911.14</v>
      </c>
      <c r="E47" s="13">
        <f t="shared" si="8"/>
        <v>7484.6196164383646</v>
      </c>
      <c r="F47" s="13">
        <f t="shared" si="6"/>
        <v>112395.75961643836</v>
      </c>
      <c r="G47" s="13">
        <f t="shared" si="7"/>
        <v>629466.8600000008</v>
      </c>
    </row>
    <row r="48" spans="2:8" x14ac:dyDescent="0.3">
      <c r="B48" s="4">
        <v>46721</v>
      </c>
      <c r="C48" s="12">
        <f t="shared" si="4"/>
        <v>30</v>
      </c>
      <c r="D48" s="3">
        <f t="shared" si="5"/>
        <v>104911.14</v>
      </c>
      <c r="E48" s="13">
        <f t="shared" si="8"/>
        <v>6208.4402630137065</v>
      </c>
      <c r="F48" s="13">
        <f t="shared" si="6"/>
        <v>111119.5802630137</v>
      </c>
      <c r="G48" s="13">
        <f t="shared" si="7"/>
        <v>524555.72000000079</v>
      </c>
    </row>
    <row r="49" spans="2:8" x14ac:dyDescent="0.3">
      <c r="B49" s="4">
        <v>46752</v>
      </c>
      <c r="C49" s="12">
        <f t="shared" si="4"/>
        <v>31</v>
      </c>
      <c r="D49" s="3">
        <f t="shared" si="5"/>
        <v>104911.14</v>
      </c>
      <c r="E49" s="13">
        <f t="shared" si="8"/>
        <v>5346.1569271232956</v>
      </c>
      <c r="F49" s="13">
        <f t="shared" si="6"/>
        <v>110257.2969271233</v>
      </c>
      <c r="G49" s="13">
        <f t="shared" si="7"/>
        <v>419644.58000000077</v>
      </c>
    </row>
    <row r="50" spans="2:8" x14ac:dyDescent="0.3">
      <c r="B50" s="4">
        <v>46783</v>
      </c>
      <c r="C50" s="12">
        <f t="shared" si="4"/>
        <v>31</v>
      </c>
      <c r="D50" s="3">
        <f t="shared" si="5"/>
        <v>104911.14</v>
      </c>
      <c r="E50" s="13">
        <f t="shared" si="8"/>
        <v>4276.9255824657612</v>
      </c>
      <c r="F50" s="13">
        <f t="shared" si="6"/>
        <v>109188.06558246576</v>
      </c>
      <c r="G50" s="13">
        <f t="shared" si="7"/>
        <v>314733.44000000076</v>
      </c>
    </row>
    <row r="51" spans="2:8" x14ac:dyDescent="0.3">
      <c r="B51" s="4">
        <v>46811</v>
      </c>
      <c r="C51" s="12">
        <f t="shared" si="4"/>
        <v>28</v>
      </c>
      <c r="D51" s="3">
        <f t="shared" si="5"/>
        <v>104911.14</v>
      </c>
      <c r="E51" s="13">
        <f t="shared" si="8"/>
        <v>2897.2722147945278</v>
      </c>
      <c r="F51" s="13">
        <f t="shared" si="6"/>
        <v>107808.41221479453</v>
      </c>
      <c r="G51" s="13">
        <f t="shared" si="7"/>
        <v>209822.30000000075</v>
      </c>
    </row>
    <row r="52" spans="2:8" x14ac:dyDescent="0.3">
      <c r="B52" s="14">
        <v>46843</v>
      </c>
      <c r="C52" s="15">
        <f t="shared" si="4"/>
        <v>32</v>
      </c>
      <c r="D52" s="16">
        <f t="shared" si="5"/>
        <v>104911.14</v>
      </c>
      <c r="E52" s="17">
        <f t="shared" si="8"/>
        <v>2207.4455671232954</v>
      </c>
      <c r="F52" s="17">
        <f t="shared" si="6"/>
        <v>107118.5855671233</v>
      </c>
      <c r="G52" s="17">
        <f t="shared" si="7"/>
        <v>104911.16000000075</v>
      </c>
      <c r="H52" s="13">
        <f>SUM(E41:E52)</f>
        <v>94678.713409315169</v>
      </c>
    </row>
    <row r="53" spans="2:8" x14ac:dyDescent="0.3">
      <c r="B53" s="4">
        <v>46873</v>
      </c>
      <c r="C53" s="12">
        <f t="shared" si="4"/>
        <v>30</v>
      </c>
      <c r="D53" s="3">
        <f>105000-88.84</f>
        <v>104911.16</v>
      </c>
      <c r="E53" s="13">
        <f t="shared" si="8"/>
        <v>1034.7402082191854</v>
      </c>
      <c r="F53" s="13">
        <f t="shared" si="6"/>
        <v>105945.90020821919</v>
      </c>
      <c r="G53" s="13">
        <f t="shared" si="7"/>
        <v>7.4214767664670944E-10</v>
      </c>
      <c r="H53" s="13">
        <f>SUM(E53)</f>
        <v>1034.7402082191854</v>
      </c>
    </row>
    <row r="55" spans="2:8" x14ac:dyDescent="0.3">
      <c r="B55" s="2" t="s">
        <v>86</v>
      </c>
    </row>
    <row r="56" spans="2:8" x14ac:dyDescent="0.3">
      <c r="B56" s="10" t="s">
        <v>85</v>
      </c>
      <c r="C56" s="10" t="s">
        <v>83</v>
      </c>
      <c r="D56" t="s">
        <v>81</v>
      </c>
      <c r="E56" t="s">
        <v>79</v>
      </c>
      <c r="F56" t="s">
        <v>68</v>
      </c>
      <c r="G56" t="s">
        <v>82</v>
      </c>
    </row>
    <row r="57" spans="2:8" x14ac:dyDescent="0.3">
      <c r="B57" s="4">
        <v>46174</v>
      </c>
      <c r="C57" s="4"/>
      <c r="G57" s="3">
        <v>2891283.08</v>
      </c>
      <c r="H57" s="13"/>
    </row>
    <row r="58" spans="2:8" x14ac:dyDescent="0.3">
      <c r="B58" s="4">
        <v>46203</v>
      </c>
      <c r="C58" s="12">
        <f>B58-B57</f>
        <v>29</v>
      </c>
      <c r="D58" s="3">
        <f>105000-88.86+20796.82</f>
        <v>125707.95999999999</v>
      </c>
      <c r="E58" s="13">
        <f>G57*12%*C58/365</f>
        <v>27566.205803835615</v>
      </c>
      <c r="F58" s="13">
        <f>D58+E58</f>
        <v>153274.16580383561</v>
      </c>
      <c r="G58" s="13">
        <f>G57-D58</f>
        <v>2765575.12</v>
      </c>
      <c r="H58" s="13"/>
    </row>
    <row r="59" spans="2:8" x14ac:dyDescent="0.3">
      <c r="B59" s="4">
        <v>46234</v>
      </c>
      <c r="C59" s="12">
        <f t="shared" ref="C59:C80" si="9">B59-B58</f>
        <v>31</v>
      </c>
      <c r="D59" s="3">
        <f t="shared" ref="D59:D80" si="10">105000-88.86+20796.82</f>
        <v>125707.95999999999</v>
      </c>
      <c r="E59" s="13">
        <f>G58*12%*C59/365</f>
        <v>28186.13546958904</v>
      </c>
      <c r="F59" s="13">
        <f t="shared" ref="F59:F80" si="11">D59+E59</f>
        <v>153894.09546958903</v>
      </c>
      <c r="G59" s="13">
        <f t="shared" ref="G59:G80" si="12">G58-D59</f>
        <v>2639867.16</v>
      </c>
    </row>
    <row r="60" spans="2:8" x14ac:dyDescent="0.3">
      <c r="B60" s="4">
        <v>46265</v>
      </c>
      <c r="C60" s="12">
        <f t="shared" si="9"/>
        <v>31</v>
      </c>
      <c r="D60" s="3">
        <f t="shared" si="10"/>
        <v>125707.95999999999</v>
      </c>
      <c r="E60" s="13">
        <f t="shared" ref="E60:E80" si="13">G59*12%*C60/365</f>
        <v>26904.94749369863</v>
      </c>
      <c r="F60" s="13">
        <f t="shared" si="11"/>
        <v>152612.90749369861</v>
      </c>
      <c r="G60" s="13">
        <f t="shared" si="12"/>
        <v>2514159.2000000002</v>
      </c>
    </row>
    <row r="61" spans="2:8" x14ac:dyDescent="0.3">
      <c r="B61" s="4">
        <v>46295</v>
      </c>
      <c r="C61" s="12">
        <f t="shared" si="9"/>
        <v>30</v>
      </c>
      <c r="D61" s="3">
        <f t="shared" si="10"/>
        <v>125707.95999999999</v>
      </c>
      <c r="E61" s="13">
        <f t="shared" si="13"/>
        <v>24797.186630136985</v>
      </c>
      <c r="F61" s="13">
        <f t="shared" si="11"/>
        <v>150505.14663013697</v>
      </c>
      <c r="G61" s="13">
        <f t="shared" si="12"/>
        <v>2388451.2400000002</v>
      </c>
    </row>
    <row r="62" spans="2:8" x14ac:dyDescent="0.3">
      <c r="B62" s="4">
        <v>46326</v>
      </c>
      <c r="C62" s="12">
        <f t="shared" si="9"/>
        <v>31</v>
      </c>
      <c r="D62" s="3">
        <f t="shared" si="10"/>
        <v>125707.95999999999</v>
      </c>
      <c r="E62" s="13">
        <f t="shared" si="13"/>
        <v>24342.571541917809</v>
      </c>
      <c r="F62" s="13">
        <f t="shared" si="11"/>
        <v>150050.53154191779</v>
      </c>
      <c r="G62" s="13">
        <f t="shared" si="12"/>
        <v>2262743.2800000003</v>
      </c>
    </row>
    <row r="63" spans="2:8" x14ac:dyDescent="0.3">
      <c r="B63" s="4">
        <v>46356</v>
      </c>
      <c r="C63" s="12">
        <f t="shared" si="9"/>
        <v>30</v>
      </c>
      <c r="D63" s="3">
        <f t="shared" si="10"/>
        <v>125707.95999999999</v>
      </c>
      <c r="E63" s="13">
        <f t="shared" si="13"/>
        <v>22317.467967123288</v>
      </c>
      <c r="F63" s="13">
        <f t="shared" si="11"/>
        <v>148025.42796712328</v>
      </c>
      <c r="G63" s="13">
        <f t="shared" si="12"/>
        <v>2137035.3200000003</v>
      </c>
    </row>
    <row r="64" spans="2:8" x14ac:dyDescent="0.3">
      <c r="B64" s="4">
        <v>46387</v>
      </c>
      <c r="C64" s="12">
        <f t="shared" si="9"/>
        <v>31</v>
      </c>
      <c r="D64" s="3">
        <f t="shared" si="10"/>
        <v>125707.95999999999</v>
      </c>
      <c r="E64" s="13">
        <f t="shared" si="13"/>
        <v>21780.195590136987</v>
      </c>
      <c r="F64" s="13">
        <f t="shared" si="11"/>
        <v>147488.15559013697</v>
      </c>
      <c r="G64" s="13">
        <f t="shared" si="12"/>
        <v>2011327.3600000003</v>
      </c>
    </row>
    <row r="65" spans="2:8" x14ac:dyDescent="0.3">
      <c r="B65" s="4">
        <v>46418</v>
      </c>
      <c r="C65" s="12">
        <f t="shared" si="9"/>
        <v>31</v>
      </c>
      <c r="D65" s="3">
        <f t="shared" si="10"/>
        <v>125707.95999999999</v>
      </c>
      <c r="E65" s="13">
        <f t="shared" si="13"/>
        <v>20499.007614246577</v>
      </c>
      <c r="F65" s="13">
        <f t="shared" si="11"/>
        <v>146206.96761424656</v>
      </c>
      <c r="G65" s="13">
        <f t="shared" si="12"/>
        <v>1885619.4000000004</v>
      </c>
    </row>
    <row r="66" spans="2:8" x14ac:dyDescent="0.3">
      <c r="B66" s="4">
        <v>46446</v>
      </c>
      <c r="C66" s="12">
        <f t="shared" si="9"/>
        <v>28</v>
      </c>
      <c r="D66" s="3">
        <f t="shared" si="10"/>
        <v>125707.95999999999</v>
      </c>
      <c r="E66" s="13">
        <f t="shared" si="13"/>
        <v>17358.030641095895</v>
      </c>
      <c r="F66" s="13">
        <f t="shared" si="11"/>
        <v>143065.99064109588</v>
      </c>
      <c r="G66" s="13">
        <f t="shared" si="12"/>
        <v>1759911.4400000004</v>
      </c>
    </row>
    <row r="67" spans="2:8" x14ac:dyDescent="0.3">
      <c r="B67" s="14">
        <v>46477</v>
      </c>
      <c r="C67" s="15">
        <f t="shared" si="9"/>
        <v>31</v>
      </c>
      <c r="D67" s="16">
        <f t="shared" si="10"/>
        <v>125707.95999999999</v>
      </c>
      <c r="E67" s="17">
        <f t="shared" si="13"/>
        <v>17936.631662465756</v>
      </c>
      <c r="F67" s="17">
        <f t="shared" si="11"/>
        <v>143644.59166246574</v>
      </c>
      <c r="G67" s="17">
        <f t="shared" si="12"/>
        <v>1634203.4800000004</v>
      </c>
      <c r="H67" s="13">
        <f>SUM(E58:E67)</f>
        <v>231688.38041424655</v>
      </c>
    </row>
    <row r="68" spans="2:8" x14ac:dyDescent="0.3">
      <c r="B68" s="4">
        <v>46507</v>
      </c>
      <c r="C68" s="12">
        <f t="shared" si="9"/>
        <v>30</v>
      </c>
      <c r="D68" s="3">
        <f t="shared" si="10"/>
        <v>125707.95999999999</v>
      </c>
      <c r="E68" s="13">
        <f t="shared" si="13"/>
        <v>16118.171309589043</v>
      </c>
      <c r="F68" s="13">
        <f t="shared" si="11"/>
        <v>141826.13130958902</v>
      </c>
      <c r="G68" s="13">
        <f t="shared" si="12"/>
        <v>1508495.5200000005</v>
      </c>
    </row>
    <row r="69" spans="2:8" x14ac:dyDescent="0.3">
      <c r="B69" s="4">
        <v>46538</v>
      </c>
      <c r="C69" s="12">
        <f t="shared" si="9"/>
        <v>31</v>
      </c>
      <c r="D69" s="3">
        <f t="shared" si="10"/>
        <v>125707.95999999999</v>
      </c>
      <c r="E69" s="13">
        <f t="shared" si="13"/>
        <v>15374.255710684936</v>
      </c>
      <c r="F69" s="13">
        <f t="shared" si="11"/>
        <v>141082.21571068492</v>
      </c>
      <c r="G69" s="13">
        <f t="shared" si="12"/>
        <v>1382787.5600000005</v>
      </c>
    </row>
    <row r="70" spans="2:8" x14ac:dyDescent="0.3">
      <c r="B70" s="4">
        <v>46568</v>
      </c>
      <c r="C70" s="12">
        <f t="shared" si="9"/>
        <v>30</v>
      </c>
      <c r="D70" s="3">
        <f t="shared" si="10"/>
        <v>125707.95999999999</v>
      </c>
      <c r="E70" s="13">
        <f t="shared" si="13"/>
        <v>13638.452646575348</v>
      </c>
      <c r="F70" s="13">
        <f t="shared" si="11"/>
        <v>139346.41264657534</v>
      </c>
      <c r="G70" s="13">
        <f t="shared" si="12"/>
        <v>1257079.6000000006</v>
      </c>
    </row>
    <row r="71" spans="2:8" x14ac:dyDescent="0.3">
      <c r="B71" s="4">
        <v>46599</v>
      </c>
      <c r="C71" s="12">
        <f t="shared" si="9"/>
        <v>31</v>
      </c>
      <c r="D71" s="3">
        <f t="shared" si="10"/>
        <v>125707.95999999999</v>
      </c>
      <c r="E71" s="13">
        <f t="shared" si="13"/>
        <v>12811.879758904113</v>
      </c>
      <c r="F71" s="13">
        <f t="shared" si="11"/>
        <v>138519.8397589041</v>
      </c>
      <c r="G71" s="13">
        <f t="shared" si="12"/>
        <v>1131371.6400000006</v>
      </c>
    </row>
    <row r="72" spans="2:8" x14ac:dyDescent="0.3">
      <c r="B72" s="4">
        <v>46630</v>
      </c>
      <c r="C72" s="12">
        <f t="shared" si="9"/>
        <v>31</v>
      </c>
      <c r="D72" s="3">
        <f t="shared" si="10"/>
        <v>125707.95999999999</v>
      </c>
      <c r="E72" s="13">
        <f t="shared" si="13"/>
        <v>11530.691783013703</v>
      </c>
      <c r="F72" s="13">
        <f t="shared" si="11"/>
        <v>137238.65178301369</v>
      </c>
      <c r="G72" s="13">
        <f t="shared" si="12"/>
        <v>1005663.6800000006</v>
      </c>
    </row>
    <row r="73" spans="2:8" x14ac:dyDescent="0.3">
      <c r="B73" s="4">
        <v>46660</v>
      </c>
      <c r="C73" s="12">
        <f t="shared" si="9"/>
        <v>30</v>
      </c>
      <c r="D73" s="3">
        <f t="shared" si="10"/>
        <v>125707.95999999999</v>
      </c>
      <c r="E73" s="13">
        <f t="shared" si="13"/>
        <v>9918.8746520548011</v>
      </c>
      <c r="F73" s="13">
        <f t="shared" si="11"/>
        <v>135626.83465205479</v>
      </c>
      <c r="G73" s="13">
        <f t="shared" si="12"/>
        <v>879955.72000000067</v>
      </c>
    </row>
    <row r="74" spans="2:8" x14ac:dyDescent="0.3">
      <c r="B74" s="4">
        <v>46691</v>
      </c>
      <c r="C74" s="12">
        <f t="shared" si="9"/>
        <v>31</v>
      </c>
      <c r="D74" s="3">
        <f t="shared" si="10"/>
        <v>125707.95999999999</v>
      </c>
      <c r="E74" s="13">
        <f t="shared" si="13"/>
        <v>8968.3158312328833</v>
      </c>
      <c r="F74" s="13">
        <f t="shared" si="11"/>
        <v>134676.27583123287</v>
      </c>
      <c r="G74" s="13">
        <f t="shared" si="12"/>
        <v>754247.76000000071</v>
      </c>
    </row>
    <row r="75" spans="2:8" x14ac:dyDescent="0.3">
      <c r="B75" s="4">
        <v>46721</v>
      </c>
      <c r="C75" s="12">
        <f t="shared" si="9"/>
        <v>30</v>
      </c>
      <c r="D75" s="3">
        <f t="shared" si="10"/>
        <v>125707.95999999999</v>
      </c>
      <c r="E75" s="13">
        <f t="shared" si="13"/>
        <v>7439.1559890411027</v>
      </c>
      <c r="F75" s="13">
        <f t="shared" si="11"/>
        <v>133147.11598904111</v>
      </c>
      <c r="G75" s="13">
        <f t="shared" si="12"/>
        <v>628539.80000000075</v>
      </c>
    </row>
    <row r="76" spans="2:8" x14ac:dyDescent="0.3">
      <c r="B76" s="4">
        <v>46752</v>
      </c>
      <c r="C76" s="12">
        <f t="shared" si="9"/>
        <v>31</v>
      </c>
      <c r="D76" s="3">
        <f t="shared" si="10"/>
        <v>125707.95999999999</v>
      </c>
      <c r="E76" s="13">
        <f t="shared" si="13"/>
        <v>6405.9398794520621</v>
      </c>
      <c r="F76" s="13">
        <f t="shared" si="11"/>
        <v>132113.89987945204</v>
      </c>
      <c r="G76" s="13">
        <f t="shared" si="12"/>
        <v>502831.84000000078</v>
      </c>
    </row>
    <row r="77" spans="2:8" x14ac:dyDescent="0.3">
      <c r="B77" s="4">
        <v>46783</v>
      </c>
      <c r="C77" s="12">
        <f t="shared" si="9"/>
        <v>31</v>
      </c>
      <c r="D77" s="3">
        <f t="shared" si="10"/>
        <v>125707.95999999999</v>
      </c>
      <c r="E77" s="13">
        <f t="shared" si="13"/>
        <v>5124.7519035616515</v>
      </c>
      <c r="F77" s="13">
        <f t="shared" si="11"/>
        <v>130832.71190356165</v>
      </c>
      <c r="G77" s="13">
        <f t="shared" si="12"/>
        <v>377123.88000000082</v>
      </c>
    </row>
    <row r="78" spans="2:8" x14ac:dyDescent="0.3">
      <c r="B78" s="4">
        <v>46811</v>
      </c>
      <c r="C78" s="12">
        <f t="shared" si="9"/>
        <v>28</v>
      </c>
      <c r="D78" s="3">
        <f t="shared" si="10"/>
        <v>125707.95999999999</v>
      </c>
      <c r="E78" s="13">
        <f t="shared" si="13"/>
        <v>3471.6061282191858</v>
      </c>
      <c r="F78" s="13">
        <f t="shared" si="11"/>
        <v>129179.56612821917</v>
      </c>
      <c r="G78" s="13">
        <f t="shared" si="12"/>
        <v>251415.92000000083</v>
      </c>
    </row>
    <row r="79" spans="2:8" x14ac:dyDescent="0.3">
      <c r="B79" s="14">
        <v>46843</v>
      </c>
      <c r="C79" s="15">
        <f t="shared" si="9"/>
        <v>32</v>
      </c>
      <c r="D79" s="16">
        <f t="shared" si="10"/>
        <v>125707.95999999999</v>
      </c>
      <c r="E79" s="17">
        <f t="shared" si="13"/>
        <v>2645.0332405479539</v>
      </c>
      <c r="F79" s="17">
        <f t="shared" si="11"/>
        <v>128352.99324054795</v>
      </c>
      <c r="G79" s="17">
        <f t="shared" si="12"/>
        <v>125707.96000000084</v>
      </c>
      <c r="H79" s="13">
        <f>SUM(E68:E79)</f>
        <v>113447.1288328768</v>
      </c>
    </row>
    <row r="80" spans="2:8" x14ac:dyDescent="0.3">
      <c r="B80" s="4">
        <v>46873</v>
      </c>
      <c r="C80" s="12">
        <f t="shared" si="9"/>
        <v>30</v>
      </c>
      <c r="D80" s="3">
        <f t="shared" si="10"/>
        <v>125707.95999999999</v>
      </c>
      <c r="E80" s="13">
        <f t="shared" si="13"/>
        <v>1239.8593315068574</v>
      </c>
      <c r="F80" s="13">
        <f t="shared" si="11"/>
        <v>126947.81933150685</v>
      </c>
      <c r="G80" s="13">
        <f t="shared" si="12"/>
        <v>8.440110832452774E-10</v>
      </c>
      <c r="H80" s="13">
        <f>SUM(E80)</f>
        <v>1239.8593315068574</v>
      </c>
    </row>
    <row r="82" spans="2:8" x14ac:dyDescent="0.3">
      <c r="B82" s="2" t="s">
        <v>87</v>
      </c>
    </row>
    <row r="83" spans="2:8" x14ac:dyDescent="0.3">
      <c r="B83" s="10" t="s">
        <v>88</v>
      </c>
      <c r="C83" s="10" t="s">
        <v>83</v>
      </c>
      <c r="D83" t="s">
        <v>81</v>
      </c>
      <c r="E83" t="s">
        <v>79</v>
      </c>
      <c r="F83" t="s">
        <v>68</v>
      </c>
      <c r="G83" t="s">
        <v>82</v>
      </c>
    </row>
    <row r="84" spans="2:8" x14ac:dyDescent="0.3">
      <c r="B84" s="4">
        <v>46174</v>
      </c>
      <c r="C84" s="4"/>
      <c r="G84" s="3">
        <v>6750698.6200000001</v>
      </c>
      <c r="H84" s="13"/>
    </row>
    <row r="85" spans="2:8" x14ac:dyDescent="0.3">
      <c r="B85" s="4">
        <v>46203</v>
      </c>
      <c r="C85" s="12">
        <f>B85-B84</f>
        <v>29</v>
      </c>
      <c r="D85" s="3">
        <f>105000-88.86+20796.82+167800.68</f>
        <v>293508.64</v>
      </c>
      <c r="E85" s="13">
        <f>G84*12%*C85/365</f>
        <v>64362.825198904109</v>
      </c>
      <c r="F85" s="13">
        <f>D85+E85</f>
        <v>357871.4651989041</v>
      </c>
      <c r="G85" s="13">
        <f>G84-D85</f>
        <v>6457189.9800000004</v>
      </c>
      <c r="H85" s="13"/>
    </row>
    <row r="86" spans="2:8" x14ac:dyDescent="0.3">
      <c r="B86" s="4">
        <v>46234</v>
      </c>
      <c r="C86" s="12">
        <f t="shared" ref="C86:C107" si="14">B86-B85</f>
        <v>31</v>
      </c>
      <c r="D86" s="3">
        <f t="shared" ref="D86:D106" si="15">105000-88.86+20796.82+167800.68</f>
        <v>293508.64</v>
      </c>
      <c r="E86" s="13">
        <f>G85*12%*C86/365</f>
        <v>65810.265001643842</v>
      </c>
      <c r="F86" s="13">
        <f t="shared" ref="F86:F107" si="16">D86+E86</f>
        <v>359318.90500164387</v>
      </c>
      <c r="G86" s="13">
        <f t="shared" ref="G86:G107" si="17">G85-D86</f>
        <v>6163681.3400000008</v>
      </c>
    </row>
    <row r="87" spans="2:8" x14ac:dyDescent="0.3">
      <c r="B87" s="4">
        <v>46265</v>
      </c>
      <c r="C87" s="12">
        <f t="shared" si="14"/>
        <v>31</v>
      </c>
      <c r="D87" s="3">
        <f t="shared" si="15"/>
        <v>293508.64</v>
      </c>
      <c r="E87" s="13">
        <f t="shared" ref="E87:E107" si="18">G86*12%*C87/365</f>
        <v>62818.889273424662</v>
      </c>
      <c r="F87" s="13">
        <f t="shared" si="16"/>
        <v>356327.52927342465</v>
      </c>
      <c r="G87" s="13">
        <f t="shared" si="17"/>
        <v>5870172.7000000011</v>
      </c>
    </row>
    <row r="88" spans="2:8" x14ac:dyDescent="0.3">
      <c r="B88" s="4">
        <v>46295</v>
      </c>
      <c r="C88" s="12">
        <f t="shared" si="14"/>
        <v>30</v>
      </c>
      <c r="D88" s="3">
        <f t="shared" si="15"/>
        <v>293508.64</v>
      </c>
      <c r="E88" s="13">
        <f t="shared" si="18"/>
        <v>57897.593753424677</v>
      </c>
      <c r="F88" s="13">
        <f t="shared" si="16"/>
        <v>351406.23375342472</v>
      </c>
      <c r="G88" s="13">
        <f t="shared" si="17"/>
        <v>5576664.0600000015</v>
      </c>
    </row>
    <row r="89" spans="2:8" x14ac:dyDescent="0.3">
      <c r="B89" s="4">
        <v>46326</v>
      </c>
      <c r="C89" s="12">
        <f t="shared" si="14"/>
        <v>31</v>
      </c>
      <c r="D89" s="3">
        <f t="shared" si="15"/>
        <v>293508.64</v>
      </c>
      <c r="E89" s="13">
        <f t="shared" si="18"/>
        <v>56836.137816986316</v>
      </c>
      <c r="F89" s="13">
        <f t="shared" si="16"/>
        <v>350344.77781698632</v>
      </c>
      <c r="G89" s="13">
        <f t="shared" si="17"/>
        <v>5283155.4200000018</v>
      </c>
    </row>
    <row r="90" spans="2:8" x14ac:dyDescent="0.3">
      <c r="B90" s="4">
        <v>46356</v>
      </c>
      <c r="C90" s="12">
        <f t="shared" si="14"/>
        <v>30</v>
      </c>
      <c r="D90" s="3">
        <f t="shared" si="15"/>
        <v>293508.64</v>
      </c>
      <c r="E90" s="13">
        <f t="shared" si="18"/>
        <v>52107.834279452072</v>
      </c>
      <c r="F90" s="13">
        <f t="shared" si="16"/>
        <v>345616.47427945212</v>
      </c>
      <c r="G90" s="13">
        <f t="shared" si="17"/>
        <v>4989646.7800000021</v>
      </c>
    </row>
    <row r="91" spans="2:8" x14ac:dyDescent="0.3">
      <c r="B91" s="4">
        <v>46387</v>
      </c>
      <c r="C91" s="12">
        <f t="shared" si="14"/>
        <v>31</v>
      </c>
      <c r="D91" s="3">
        <f t="shared" si="15"/>
        <v>293508.64</v>
      </c>
      <c r="E91" s="13">
        <f t="shared" si="18"/>
        <v>50853.386360547964</v>
      </c>
      <c r="F91" s="13">
        <f t="shared" si="16"/>
        <v>344362.02636054798</v>
      </c>
      <c r="G91" s="13">
        <f t="shared" si="17"/>
        <v>4696138.1400000025</v>
      </c>
    </row>
    <row r="92" spans="2:8" x14ac:dyDescent="0.3">
      <c r="B92" s="4">
        <v>46418</v>
      </c>
      <c r="C92" s="12">
        <f t="shared" si="14"/>
        <v>31</v>
      </c>
      <c r="D92" s="3">
        <f t="shared" si="15"/>
        <v>293508.64</v>
      </c>
      <c r="E92" s="13">
        <f t="shared" si="18"/>
        <v>47862.010632328791</v>
      </c>
      <c r="F92" s="13">
        <f t="shared" si="16"/>
        <v>341370.65063232882</v>
      </c>
      <c r="G92" s="13">
        <f t="shared" si="17"/>
        <v>4402629.5000000028</v>
      </c>
    </row>
    <row r="93" spans="2:8" x14ac:dyDescent="0.3">
      <c r="B93" s="4">
        <v>46446</v>
      </c>
      <c r="C93" s="12">
        <f t="shared" si="14"/>
        <v>28</v>
      </c>
      <c r="D93" s="3">
        <f t="shared" si="15"/>
        <v>293508.64</v>
      </c>
      <c r="E93" s="13">
        <f t="shared" si="18"/>
        <v>40528.315397260296</v>
      </c>
      <c r="F93" s="13">
        <f t="shared" si="16"/>
        <v>334036.95539726032</v>
      </c>
      <c r="G93" s="13">
        <f t="shared" si="17"/>
        <v>4109120.8600000027</v>
      </c>
    </row>
    <row r="94" spans="2:8" x14ac:dyDescent="0.3">
      <c r="B94" s="14">
        <v>46477</v>
      </c>
      <c r="C94" s="15">
        <f t="shared" si="14"/>
        <v>31</v>
      </c>
      <c r="D94" s="16">
        <f t="shared" si="15"/>
        <v>293508.64</v>
      </c>
      <c r="E94" s="17">
        <f t="shared" si="18"/>
        <v>41879.259175890438</v>
      </c>
      <c r="F94" s="17">
        <f t="shared" si="16"/>
        <v>335387.89917589043</v>
      </c>
      <c r="G94" s="17">
        <f t="shared" si="17"/>
        <v>3815612.2200000025</v>
      </c>
      <c r="H94" s="13">
        <f>SUM(E85:E94)</f>
        <v>540956.51688986318</v>
      </c>
    </row>
    <row r="95" spans="2:8" x14ac:dyDescent="0.3">
      <c r="B95" s="4">
        <v>46507</v>
      </c>
      <c r="C95" s="12">
        <f t="shared" si="14"/>
        <v>30</v>
      </c>
      <c r="D95" s="3">
        <f t="shared" si="15"/>
        <v>293508.64</v>
      </c>
      <c r="E95" s="13">
        <f t="shared" si="18"/>
        <v>37633.435594520568</v>
      </c>
      <c r="F95" s="13">
        <f t="shared" si="16"/>
        <v>331142.0755945206</v>
      </c>
      <c r="G95" s="13">
        <f t="shared" si="17"/>
        <v>3522103.5800000024</v>
      </c>
    </row>
    <row r="96" spans="2:8" x14ac:dyDescent="0.3">
      <c r="B96" s="4">
        <v>46538</v>
      </c>
      <c r="C96" s="12">
        <f t="shared" si="14"/>
        <v>31</v>
      </c>
      <c r="D96" s="3">
        <f t="shared" si="15"/>
        <v>293508.64</v>
      </c>
      <c r="E96" s="13">
        <f t="shared" si="18"/>
        <v>35896.507719452078</v>
      </c>
      <c r="F96" s="13">
        <f t="shared" si="16"/>
        <v>329405.1477194521</v>
      </c>
      <c r="G96" s="13">
        <f t="shared" si="17"/>
        <v>3228594.9400000023</v>
      </c>
    </row>
    <row r="97" spans="2:8" x14ac:dyDescent="0.3">
      <c r="B97" s="4">
        <v>46568</v>
      </c>
      <c r="C97" s="12">
        <f t="shared" si="14"/>
        <v>30</v>
      </c>
      <c r="D97" s="3">
        <f t="shared" si="15"/>
        <v>293508.64</v>
      </c>
      <c r="E97" s="13">
        <f t="shared" si="18"/>
        <v>31843.676120547967</v>
      </c>
      <c r="F97" s="13">
        <f t="shared" si="16"/>
        <v>325352.316120548</v>
      </c>
      <c r="G97" s="13">
        <f t="shared" si="17"/>
        <v>2935086.3000000021</v>
      </c>
    </row>
    <row r="98" spans="2:8" x14ac:dyDescent="0.3">
      <c r="B98" s="4">
        <v>46599</v>
      </c>
      <c r="C98" s="12">
        <f t="shared" si="14"/>
        <v>31</v>
      </c>
      <c r="D98" s="3">
        <f t="shared" si="15"/>
        <v>293508.64</v>
      </c>
      <c r="E98" s="13">
        <f t="shared" si="18"/>
        <v>29913.756263013718</v>
      </c>
      <c r="F98" s="13">
        <f t="shared" si="16"/>
        <v>323422.39626301371</v>
      </c>
      <c r="G98" s="13">
        <f t="shared" si="17"/>
        <v>2641577.660000002</v>
      </c>
    </row>
    <row r="99" spans="2:8" x14ac:dyDescent="0.3">
      <c r="B99" s="4">
        <v>46630</v>
      </c>
      <c r="C99" s="12">
        <f t="shared" si="14"/>
        <v>31</v>
      </c>
      <c r="D99" s="3">
        <f t="shared" si="15"/>
        <v>293508.64</v>
      </c>
      <c r="E99" s="13">
        <f t="shared" si="18"/>
        <v>26922.380534794538</v>
      </c>
      <c r="F99" s="13">
        <f t="shared" si="16"/>
        <v>320431.02053479454</v>
      </c>
      <c r="G99" s="13">
        <f t="shared" si="17"/>
        <v>2348069.0200000019</v>
      </c>
    </row>
    <row r="100" spans="2:8" x14ac:dyDescent="0.3">
      <c r="B100" s="4">
        <v>46660</v>
      </c>
      <c r="C100" s="12">
        <f t="shared" si="14"/>
        <v>30</v>
      </c>
      <c r="D100" s="3">
        <f t="shared" si="15"/>
        <v>293508.64</v>
      </c>
      <c r="E100" s="13">
        <f t="shared" si="18"/>
        <v>23159.03690958906</v>
      </c>
      <c r="F100" s="13">
        <f t="shared" si="16"/>
        <v>316667.67690958909</v>
      </c>
      <c r="G100" s="13">
        <f t="shared" si="17"/>
        <v>2054560.3800000018</v>
      </c>
    </row>
    <row r="101" spans="2:8" x14ac:dyDescent="0.3">
      <c r="B101" s="4">
        <v>46691</v>
      </c>
      <c r="C101" s="12">
        <f t="shared" si="14"/>
        <v>31</v>
      </c>
      <c r="D101" s="3">
        <f t="shared" si="15"/>
        <v>293508.64</v>
      </c>
      <c r="E101" s="13">
        <f t="shared" si="18"/>
        <v>20939.629078356182</v>
      </c>
      <c r="F101" s="13">
        <f t="shared" si="16"/>
        <v>314448.26907835621</v>
      </c>
      <c r="G101" s="13">
        <f t="shared" si="17"/>
        <v>1761051.7400000016</v>
      </c>
    </row>
    <row r="102" spans="2:8" x14ac:dyDescent="0.3">
      <c r="B102" s="4">
        <v>46721</v>
      </c>
      <c r="C102" s="12">
        <f t="shared" si="14"/>
        <v>30</v>
      </c>
      <c r="D102" s="3">
        <f t="shared" si="15"/>
        <v>293508.64</v>
      </c>
      <c r="E102" s="13">
        <f t="shared" si="18"/>
        <v>17369.277435616455</v>
      </c>
      <c r="F102" s="13">
        <f t="shared" si="16"/>
        <v>310877.91743561649</v>
      </c>
      <c r="G102" s="13">
        <f t="shared" si="17"/>
        <v>1467543.1000000015</v>
      </c>
    </row>
    <row r="103" spans="2:8" x14ac:dyDescent="0.3">
      <c r="B103" s="4">
        <v>46752</v>
      </c>
      <c r="C103" s="12">
        <f t="shared" si="14"/>
        <v>31</v>
      </c>
      <c r="D103" s="3">
        <f t="shared" si="15"/>
        <v>293508.64</v>
      </c>
      <c r="E103" s="13">
        <f t="shared" si="18"/>
        <v>14956.877621917822</v>
      </c>
      <c r="F103" s="13">
        <f t="shared" si="16"/>
        <v>308465.51762191782</v>
      </c>
      <c r="G103" s="13">
        <f t="shared" si="17"/>
        <v>1174034.4600000014</v>
      </c>
    </row>
    <row r="104" spans="2:8" x14ac:dyDescent="0.3">
      <c r="B104" s="4">
        <v>46783</v>
      </c>
      <c r="C104" s="12">
        <f t="shared" si="14"/>
        <v>31</v>
      </c>
      <c r="D104" s="3">
        <f t="shared" si="15"/>
        <v>293508.64</v>
      </c>
      <c r="E104" s="13">
        <f t="shared" si="18"/>
        <v>11965.501893698643</v>
      </c>
      <c r="F104" s="13">
        <f t="shared" si="16"/>
        <v>305474.14189369866</v>
      </c>
      <c r="G104" s="13">
        <f t="shared" si="17"/>
        <v>880525.82000000135</v>
      </c>
    </row>
    <row r="105" spans="2:8" x14ac:dyDescent="0.3">
      <c r="B105" s="4">
        <v>46811</v>
      </c>
      <c r="C105" s="12">
        <f t="shared" si="14"/>
        <v>28</v>
      </c>
      <c r="D105" s="3">
        <f t="shared" si="15"/>
        <v>293508.64</v>
      </c>
      <c r="E105" s="13">
        <f t="shared" si="18"/>
        <v>8105.6623430137115</v>
      </c>
      <c r="F105" s="13">
        <f t="shared" si="16"/>
        <v>301614.3023430137</v>
      </c>
      <c r="G105" s="13">
        <f t="shared" si="17"/>
        <v>587017.18000000133</v>
      </c>
    </row>
    <row r="106" spans="2:8" x14ac:dyDescent="0.3">
      <c r="B106" s="14">
        <v>46843</v>
      </c>
      <c r="C106" s="15">
        <f t="shared" si="14"/>
        <v>32</v>
      </c>
      <c r="D106" s="16">
        <f t="shared" si="15"/>
        <v>293508.64</v>
      </c>
      <c r="E106" s="17">
        <f t="shared" si="18"/>
        <v>6175.7423868493288</v>
      </c>
      <c r="F106" s="17">
        <f t="shared" si="16"/>
        <v>299684.38238684932</v>
      </c>
      <c r="G106" s="17">
        <f t="shared" si="17"/>
        <v>293508.54000000132</v>
      </c>
      <c r="H106" s="13">
        <f>SUM(E95:E106)</f>
        <v>264881.48390137003</v>
      </c>
    </row>
    <row r="107" spans="2:8" x14ac:dyDescent="0.3">
      <c r="B107" s="4">
        <v>46873</v>
      </c>
      <c r="C107" s="12">
        <f t="shared" si="14"/>
        <v>30</v>
      </c>
      <c r="D107" s="3">
        <f>105000-88.86+20796.82+167800.58</f>
        <v>293508.53999999998</v>
      </c>
      <c r="E107" s="13">
        <f t="shared" si="18"/>
        <v>2894.8787506849449</v>
      </c>
      <c r="F107" s="13">
        <f t="shared" si="16"/>
        <v>296403.41875068494</v>
      </c>
      <c r="G107" s="13">
        <f t="shared" si="17"/>
        <v>1.3387762010097504E-9</v>
      </c>
      <c r="H107" s="13">
        <f>SUM(E107)</f>
        <v>2894.8787506849449</v>
      </c>
    </row>
    <row r="109" spans="2:8" x14ac:dyDescent="0.3">
      <c r="B109" s="2" t="s">
        <v>89</v>
      </c>
    </row>
    <row r="110" spans="2:8" x14ac:dyDescent="0.3">
      <c r="B110" s="10" t="s">
        <v>90</v>
      </c>
      <c r="C110" s="10" t="s">
        <v>83</v>
      </c>
      <c r="D110" t="s">
        <v>81</v>
      </c>
      <c r="E110" t="s">
        <v>79</v>
      </c>
      <c r="F110" t="s">
        <v>68</v>
      </c>
      <c r="G110" t="s">
        <v>82</v>
      </c>
    </row>
    <row r="111" spans="2:8" x14ac:dyDescent="0.3">
      <c r="B111" s="4">
        <v>46174</v>
      </c>
      <c r="C111" s="4"/>
      <c r="G111" s="3">
        <v>1299337.25</v>
      </c>
      <c r="H111" s="13"/>
    </row>
    <row r="112" spans="2:8" x14ac:dyDescent="0.3">
      <c r="B112" s="4">
        <v>46203</v>
      </c>
      <c r="C112" s="12">
        <f>B112-B111</f>
        <v>29</v>
      </c>
      <c r="D112" s="13">
        <v>185619.60714285713</v>
      </c>
      <c r="E112" s="13">
        <f>G111*12%*C112/365</f>
        <v>12388.201726027397</v>
      </c>
      <c r="F112" s="13">
        <f>D112+E112</f>
        <v>198007.80886888452</v>
      </c>
      <c r="G112" s="13">
        <f>G111-D112</f>
        <v>1113717.642857143</v>
      </c>
    </row>
    <row r="113" spans="2:8" x14ac:dyDescent="0.3">
      <c r="B113" s="4">
        <v>46234</v>
      </c>
      <c r="C113" s="12">
        <f t="shared" ref="C113:C118" si="19">B113-B112</f>
        <v>31</v>
      </c>
      <c r="D113" s="13">
        <v>185619.60714285713</v>
      </c>
      <c r="E113" s="13">
        <f>G112*12%*C113/365</f>
        <v>11350.766113502936</v>
      </c>
      <c r="F113" s="13">
        <f t="shared" ref="F113:F118" si="20">D113+E113</f>
        <v>196970.37325636006</v>
      </c>
      <c r="G113" s="13">
        <f t="shared" ref="G113:G118" si="21">G112-D113</f>
        <v>928098.0357142858</v>
      </c>
    </row>
    <row r="114" spans="2:8" x14ac:dyDescent="0.3">
      <c r="B114" s="4">
        <v>46265</v>
      </c>
      <c r="C114" s="12">
        <f t="shared" si="19"/>
        <v>31</v>
      </c>
      <c r="D114" s="13">
        <v>185619.60714285713</v>
      </c>
      <c r="E114" s="13">
        <f t="shared" ref="E114:E118" si="22">G113*12%*C114/365</f>
        <v>9458.9717612524473</v>
      </c>
      <c r="F114" s="13">
        <f t="shared" si="20"/>
        <v>195078.57890410957</v>
      </c>
      <c r="G114" s="13">
        <f t="shared" si="21"/>
        <v>742478.42857142864</v>
      </c>
    </row>
    <row r="115" spans="2:8" x14ac:dyDescent="0.3">
      <c r="B115" s="4">
        <v>46295</v>
      </c>
      <c r="C115" s="12">
        <f t="shared" si="19"/>
        <v>30</v>
      </c>
      <c r="D115" s="13">
        <v>185619.60714285713</v>
      </c>
      <c r="E115" s="13">
        <f t="shared" si="22"/>
        <v>7323.0749119373777</v>
      </c>
      <c r="F115" s="13">
        <f t="shared" si="20"/>
        <v>192942.68205479451</v>
      </c>
      <c r="G115" s="13">
        <f t="shared" si="21"/>
        <v>556858.82142857148</v>
      </c>
    </row>
    <row r="116" spans="2:8" x14ac:dyDescent="0.3">
      <c r="B116" s="4">
        <v>46326</v>
      </c>
      <c r="C116" s="12">
        <f t="shared" si="19"/>
        <v>31</v>
      </c>
      <c r="D116" s="13">
        <v>185619.60714285713</v>
      </c>
      <c r="E116" s="13">
        <f t="shared" si="22"/>
        <v>5675.3830567514678</v>
      </c>
      <c r="F116" s="13">
        <f t="shared" si="20"/>
        <v>191294.99019960861</v>
      </c>
      <c r="G116" s="13">
        <f t="shared" si="21"/>
        <v>371239.21428571432</v>
      </c>
    </row>
    <row r="117" spans="2:8" x14ac:dyDescent="0.3">
      <c r="B117" s="4">
        <v>46356</v>
      </c>
      <c r="C117" s="12">
        <f t="shared" si="19"/>
        <v>30</v>
      </c>
      <c r="D117" s="13">
        <v>185619.60714285713</v>
      </c>
      <c r="E117" s="13">
        <f t="shared" si="22"/>
        <v>3661.5374559686888</v>
      </c>
      <c r="F117" s="13">
        <f t="shared" si="20"/>
        <v>189281.14459882581</v>
      </c>
      <c r="G117" s="13">
        <f t="shared" si="21"/>
        <v>185619.60714285719</v>
      </c>
    </row>
    <row r="118" spans="2:8" x14ac:dyDescent="0.3">
      <c r="B118" s="4">
        <v>46387</v>
      </c>
      <c r="C118" s="12">
        <f t="shared" si="19"/>
        <v>31</v>
      </c>
      <c r="D118" s="13">
        <v>185619.60714285713</v>
      </c>
      <c r="E118" s="13">
        <f t="shared" si="22"/>
        <v>1891.7943522504895</v>
      </c>
      <c r="F118" s="13">
        <f t="shared" si="20"/>
        <v>187511.40149510762</v>
      </c>
      <c r="G118" s="13">
        <f t="shared" si="21"/>
        <v>0</v>
      </c>
      <c r="H118" s="13">
        <f>SUM(E112:E118)</f>
        <v>51749.729377690805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</vt:lpstr>
      <vt:lpstr>BS</vt:lpstr>
      <vt:lpstr>CFS</vt:lpstr>
      <vt:lpstr>Notes</vt:lpstr>
      <vt:lpstr>EMI SCHEDULE KOTAK</vt:lpstr>
      <vt:lpstr>GECL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-Finance</dc:creator>
  <cp:lastModifiedBy>it</cp:lastModifiedBy>
  <dcterms:created xsi:type="dcterms:W3CDTF">2015-06-05T18:17:20Z</dcterms:created>
  <dcterms:modified xsi:type="dcterms:W3CDTF">2026-05-22T03:55:20Z</dcterms:modified>
</cp:coreProperties>
</file>